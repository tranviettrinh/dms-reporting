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trinh/Desktop/Abipha/abipha_dms/api_misa/project/"/>
    </mc:Choice>
  </mc:AlternateContent>
  <xr:revisionPtr revIDLastSave="0" documentId="13_ncr:1_{FCC49649-5A4D-DF4F-A88C-DA65A1393F2F}" xr6:coauthVersionLast="47" xr6:coauthVersionMax="47" xr10:uidLastSave="{00000000-0000-0000-0000-000000000000}"/>
  <bookViews>
    <workbookView xWindow="0" yWindow="500" windowWidth="28800" windowHeight="16300" xr2:uid="{00000000-000D-0000-FFFF-FFFF00000000}"/>
  </bookViews>
  <sheets>
    <sheet name="Quý 3,2025" sheetId="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C45_EXC_M" localSheetId="0">#REF!</definedName>
    <definedName name="_C45_EXC_M">#REF!</definedName>
    <definedName name="_Fill" localSheetId="0" hidden="1">#REF!</definedName>
    <definedName name="_Fill" hidden="1">#REF!</definedName>
    <definedName name="_xlnm._FilterDatabase" localSheetId="0" hidden="1">'Quý 3,2025'!$A$12:$BC$100</definedName>
    <definedName name="\0" localSheetId="0">'[1]PNT-QUOT-#3'!#REF!</definedName>
    <definedName name="\0">'[1]PNT-QUOT-#3'!#REF!</definedName>
    <definedName name="\z" localSheetId="0">'[1]COAT&amp;WRAP-QIOT-#3'!#REF!</definedName>
    <definedName name="\z">'[1]COAT&amp;WRAP-QIOT-#3'!#REF!</definedName>
    <definedName name="a">[2]Code!$E$2:$E$6</definedName>
    <definedName name="AAA" localSheetId="0">'[3]MTL$-INTER'!#REF!</definedName>
    <definedName name="AAA">'[3]MTL$-INTER'!#REF!</definedName>
    <definedName name="àhkffjfjkhfh">'[1]PNT-QUOT-#3'!#REF!</definedName>
    <definedName name="ạkfhsfhskfhskfhkjfh" localSheetId="0" hidden="1">#REF!</definedName>
    <definedName name="ạkfhsfhskfhskfhkjfh" hidden="1">#REF!</definedName>
    <definedName name="aklgjagjgj" localSheetId="0" hidden="1">#REF!</definedName>
    <definedName name="aklgjagjgj" hidden="1">#REF!</definedName>
    <definedName name="B" localSheetId="0">'[1]PNT-QUOT-#3'!#REF!</definedName>
    <definedName name="B">'[1]PNT-QUOT-#3'!#REF!</definedName>
    <definedName name="bangcap">[4]Ma!$A$2:$A$9</definedName>
    <definedName name="BarData" localSheetId="0">#REF!</definedName>
    <definedName name="BarData">#REF!</definedName>
    <definedName name="BBB" localSheetId="0" hidden="1">#REF!</definedName>
    <definedName name="BBB" hidden="1">#REF!</definedName>
    <definedName name="bgia" localSheetId="0">#REF!</definedName>
    <definedName name="bgia">#REF!</definedName>
    <definedName name="BHS" localSheetId="0">#REF!</definedName>
    <definedName name="BHS">#REF!</definedName>
    <definedName name="bt" localSheetId="0">#REF!</definedName>
    <definedName name="bt">#REF!</definedName>
    <definedName name="bv" localSheetId="0">#REF!</definedName>
    <definedName name="bv">#REF!</definedName>
    <definedName name="chuannangluc">'[5]Chuan NL'!$B$2:$G$237</definedName>
    <definedName name="chucdanhchuan">'[6]Danh muc chuc danh'!$E$3:$E$43</definedName>
    <definedName name="cnct" localSheetId="0">#REF!</definedName>
    <definedName name="cnct">#REF!</definedName>
    <definedName name="COAT" localSheetId="0">'[1]PNT-QUOT-#3'!#REF!</definedName>
    <definedName name="COAT">'[1]PNT-QUOT-#3'!#REF!</definedName>
    <definedName name="Company2013" localSheetId="0" hidden="1">#REF!</definedName>
    <definedName name="Company2013" hidden="1">#REF!</definedName>
    <definedName name="cot" localSheetId="0">#REF!</definedName>
    <definedName name="cot">#REF!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ct" localSheetId="0">#REF!</definedName>
    <definedName name="ct">#REF!</definedName>
    <definedName name="D" localSheetId="0" hidden="1">#REF!</definedName>
    <definedName name="D" hidden="1">#REF!</definedName>
    <definedName name="Đ" localSheetId="0" hidden="1">#REF!</definedName>
    <definedName name="Đ" hidden="1">#REF!</definedName>
    <definedName name="danhmucchucdanh">'[5]Index - PL1'!$B$6:$O$95</definedName>
    <definedName name="danhsachvitri" localSheetId="0">#REF!</definedName>
    <definedName name="danhsachvitri">#REF!</definedName>
    <definedName name="danhsachvitrii" localSheetId="0">#REF!</definedName>
    <definedName name="danhsachvitrii">#REF!</definedName>
    <definedName name="data" localSheetId="0">#REF!</definedName>
    <definedName name="data">#REF!</definedName>
    <definedName name="Data11" localSheetId="0">#REF!</definedName>
    <definedName name="Data11">#REF!</definedName>
    <definedName name="Data41" localSheetId="0">#REF!</definedName>
    <definedName name="Data41">#REF!</definedName>
    <definedName name="_xlnm.Database" localSheetId="0">#REF!</definedName>
    <definedName name="_xlnm.Database">#REF!</definedName>
    <definedName name="database_" localSheetId="0">#REF!</definedName>
    <definedName name="database_">#REF!</definedName>
    <definedName name="dfsgsg" localSheetId="0" hidden="1">#REF!</definedName>
    <definedName name="dfsgsg" hidden="1">#REF!</definedName>
    <definedName name="DGF" localSheetId="0" hidden="1">#REF!</definedName>
    <definedName name="DGF" hidden="1">#REF!</definedName>
    <definedName name="Diemchuan" localSheetId="0">[7]Code!#REF!</definedName>
    <definedName name="Diemchuan">[7]Code!#REF!</definedName>
    <definedName name="Diemchuannangluc" localSheetId="0">#REF!</definedName>
    <definedName name="Diemchuannangluc">#REF!</definedName>
    <definedName name="Don_vi">'[8]BSC.KPI (2015-2020)'!$V$4:$AL$4</definedName>
    <definedName name="donvi" localSheetId="0">#REF!</definedName>
    <definedName name="donvi">#REF!</definedName>
    <definedName name="dss" localSheetId="0">#REF!</definedName>
    <definedName name="dss">#REF!</definedName>
    <definedName name="dulieu" localSheetId="0">#REF!</definedName>
    <definedName name="dulieu">#REF!</definedName>
    <definedName name="dulieucanhan" localSheetId="0">#REF!</definedName>
    <definedName name="dulieucanhan">#REF!</definedName>
    <definedName name="dulieugoc">'[5]Du lieu nhan su (goc)'!$B$4:$M$136</definedName>
    <definedName name="dulieunhansu">'[5]Du lieu nhan su'!$B$5:$Z$389</definedName>
    <definedName name="DZSJKGJGAJ" localSheetId="0" hidden="1">#REF!</definedName>
    <definedName name="DZSJKGJGAJ" hidden="1">#REF!</definedName>
    <definedName name="eeeeeeeeeeeeee" localSheetId="0" hidden="1">#REF!</definedName>
    <definedName name="eeeeeeeeeeeeee" hidden="1">#REF!</definedName>
    <definedName name="faskfhsjkfhksjfh" localSheetId="0" hidden="1">#REF!</definedName>
    <definedName name="faskfhsjkfhksjfh" hidden="1">#REF!</definedName>
    <definedName name="fbnhhhn" localSheetId="0" hidden="1">#REF!</definedName>
    <definedName name="fbnhhhn" hidden="1">#REF!</definedName>
    <definedName name="fdshfkhfkhf" localSheetId="0">'[1]PNT-QUOT-#3'!#REF!</definedName>
    <definedName name="fdshfkhfkhf">'[1]PNT-QUOT-#3'!#REF!</definedName>
    <definedName name="FF" localSheetId="0" hidden="1">#REF!</definedName>
    <definedName name="FF" hidden="1">#REF!</definedName>
    <definedName name="fff" localSheetId="0" hidden="1">#REF!</definedName>
    <definedName name="fff" hidden="1">#REF!</definedName>
    <definedName name="FFFFFFFFFFF" localSheetId="0" hidden="1">#REF!</definedName>
    <definedName name="FFFFFFFFFFF" hidden="1">#REF!</definedName>
    <definedName name="ffjjfjfjfj" localSheetId="0" hidden="1">#REF!</definedName>
    <definedName name="ffjjfjfjfj" hidden="1">#REF!</definedName>
    <definedName name="ffjlksjflsjflfj" localSheetId="0" hidden="1">#REF!</definedName>
    <definedName name="ffjlksjflsjflfj" hidden="1">#REF!</definedName>
    <definedName name="fgfh" localSheetId="0" hidden="1">#REF!</definedName>
    <definedName name="fgfh" hidden="1">#REF!</definedName>
    <definedName name="fghdhh" localSheetId="0">'[3]MTL$-INTER'!#REF!</definedName>
    <definedName name="fghdhh">'[3]MTL$-INTER'!#REF!</definedName>
    <definedName name="FGHFGJH" localSheetId="0" hidden="1">#REF!</definedName>
    <definedName name="FGHFGJH" hidden="1">#REF!</definedName>
    <definedName name="fgkgjklsjfkljf" localSheetId="0" hidden="1">#REF!</definedName>
    <definedName name="fgkgjklsjfkljf" hidden="1">#REF!</definedName>
    <definedName name="fhjkshkfh" localSheetId="0">#REF!</definedName>
    <definedName name="fhjkshkfh">#REF!</definedName>
    <definedName name="fill" localSheetId="0" hidden="1">#REF!</definedName>
    <definedName name="fill" hidden="1">#REF!</definedName>
    <definedName name="fjfjf" localSheetId="0" hidden="1">#REF!</definedName>
    <definedName name="fjfjf" hidden="1">#REF!</definedName>
    <definedName name="fjfkjkgjgkjj" localSheetId="0" hidden="1">#REF!</definedName>
    <definedName name="fjfkjkgjgkjj" hidden="1">#REF!</definedName>
    <definedName name="fjgajkjgjg" localSheetId="0" hidden="1">#REF!</definedName>
    <definedName name="fjgajkjgjg" hidden="1">#REF!</definedName>
    <definedName name="fjikkkkkkkkkkkkkkk" localSheetId="0" hidden="1">#REF!</definedName>
    <definedName name="fjikkkkkkkkkkkkkkk" hidden="1">#REF!</definedName>
    <definedName name="fjjffj" localSheetId="0" hidden="1">#REF!</definedName>
    <definedName name="fjjffj" hidden="1">#REF!</definedName>
    <definedName name="fjkjfjfk" localSheetId="0" hidden="1">#REF!</definedName>
    <definedName name="fjkjfjfk" hidden="1">#REF!</definedName>
    <definedName name="fjksfjksklfjfkj" localSheetId="0" hidden="1">#REF!</definedName>
    <definedName name="fjksfjksklfjfkj" hidden="1">#REF!</definedName>
    <definedName name="fjkslfjklsjf" localSheetId="0" hidden="1">#REF!</definedName>
    <definedName name="fjkslfjklsjf" hidden="1">#REF!</definedName>
    <definedName name="fjshfjkhf" localSheetId="0" hidden="1">#REF!</definedName>
    <definedName name="fjshfjkhf" hidden="1">#REF!</definedName>
    <definedName name="fklfjngfjlfjlfjfj" localSheetId="0" hidden="1">#REF!</definedName>
    <definedName name="fklfjngfjlfjlfjfj" hidden="1">#REF!</definedName>
    <definedName name="fklsjgkgj" localSheetId="0" hidden="1">#REF!</definedName>
    <definedName name="fklsjgkgj" hidden="1">#REF!</definedName>
    <definedName name="flafjsklfjlfjklf" localSheetId="0">'[1]COAT&amp;WRAP-QIOT-#3'!#REF!</definedName>
    <definedName name="flafjsklfjlfjklf">'[1]COAT&amp;WRAP-QIOT-#3'!#REF!</definedName>
    <definedName name="FP" localSheetId="0">'[1]COAT&amp;WRAP-QIOT-#3'!#REF!</definedName>
    <definedName name="FP">'[1]COAT&amp;WRAP-QIOT-#3'!#REF!</definedName>
    <definedName name="fsafalkfjlkfj" localSheetId="0" hidden="1">#REF!</definedName>
    <definedName name="fsafalkfjlkfj" hidden="1">#REF!</definedName>
    <definedName name="fsafsfklfjf">'[1]PNT-QUOT-#3'!#REF!</definedName>
    <definedName name="fsdkgfjjfj" localSheetId="0" hidden="1">#REF!</definedName>
    <definedName name="fsdkgfjjfj" hidden="1">#REF!</definedName>
    <definedName name="fsdkjfsklj" localSheetId="0" hidden="1">#REF!</definedName>
    <definedName name="fsdkjfsklj" hidden="1">#REF!</definedName>
    <definedName name="FSFAKFHKJH" localSheetId="0" hidden="1">#REF!</definedName>
    <definedName name="FSFAKFHKJH" hidden="1">#REF!</definedName>
    <definedName name="FSFHSFHKHFJ" localSheetId="0" hidden="1">#REF!</definedName>
    <definedName name="FSFHSFHKHFJ" hidden="1">#REF!</definedName>
    <definedName name="fsfijffjkfj" localSheetId="0" hidden="1">#REF!</definedName>
    <definedName name="fsfijffjkfj" hidden="1">#REF!</definedName>
    <definedName name="fsfjfkjklfj" localSheetId="0" hidden="1">#REF!</definedName>
    <definedName name="fsfjfkjklfj" hidden="1">#REF!</definedName>
    <definedName name="FSFJKFJKLFJF" localSheetId="0" hidden="1">#REF!</definedName>
    <definedName name="FSFJKFJKLFJF" hidden="1">#REF!</definedName>
    <definedName name="fsfsfgs" localSheetId="0">#REF!</definedName>
    <definedName name="fsfsfgs">#REF!</definedName>
    <definedName name="fsjfhjffjh" localSheetId="0" hidden="1">#REF!</definedName>
    <definedName name="fsjfhjffjh" hidden="1">#REF!</definedName>
    <definedName name="fsjkfhjkfhsjkfh" localSheetId="0" hidden="1">#REF!</definedName>
    <definedName name="fsjkfhjkfhsjkfh" hidden="1">#REF!</definedName>
    <definedName name="fsjkfjkfjajf" localSheetId="0" hidden="1">#REF!</definedName>
    <definedName name="fsjkfjkfjajf" hidden="1">#REF!</definedName>
    <definedName name="fskfhksafhkjhfkjfh">'[1]PNT-QUOT-#3'!#REF!</definedName>
    <definedName name="fsklfjsklfjklfjkfj" localSheetId="0" hidden="1">#REF!</definedName>
    <definedName name="fsklfjsklfjklfjkfj" hidden="1">#REF!</definedName>
    <definedName name="fslfkakfjslfjfjk" localSheetId="0">'[1]PNT-QUOT-#3'!#REF!</definedName>
    <definedName name="fslfkakfjslfjfjk">'[1]PNT-QUOT-#3'!#REF!</definedName>
    <definedName name="fsofjsifjisfjfj" localSheetId="0" hidden="1">#REF!</definedName>
    <definedName name="fsofjsifjisfjfj" hidden="1">#REF!</definedName>
    <definedName name="G" localSheetId="0">#REF!</definedName>
    <definedName name="G">#REF!</definedName>
    <definedName name="găgggggggg" localSheetId="0">'[1]PNT-QUOT-#3'!#REF!</definedName>
    <definedName name="găgggggggg">'[1]PNT-QUOT-#3'!#REF!</definedName>
    <definedName name="gàgsajkflkfm" localSheetId="0" hidden="1">#REF!</definedName>
    <definedName name="gàgsajkflkfm" hidden="1">#REF!</definedName>
    <definedName name="geakpgjk" localSheetId="0" hidden="1">#REF!</definedName>
    <definedName name="geakpgjk" hidden="1">#REF!</definedName>
    <definedName name="gfjsklgjkj" localSheetId="0" hidden="1">#REF!</definedName>
    <definedName name="gfjsklgjkj" hidden="1">#REF!</definedName>
    <definedName name="gfkjklfj" localSheetId="0" hidden="1">#REF!</definedName>
    <definedName name="gfkjklfj" hidden="1">#REF!</definedName>
    <definedName name="GG" localSheetId="0" hidden="1">#REF!</definedName>
    <definedName name="GG" hidden="1">#REF!</definedName>
    <definedName name="ggg" localSheetId="0" hidden="1">#REF!</definedName>
    <definedName name="ggg" hidden="1">#REF!</definedName>
    <definedName name="gggg" localSheetId="0" hidden="1">#REF!</definedName>
    <definedName name="gggg" hidden="1">#REF!</definedName>
    <definedName name="GGGGG" localSheetId="0" hidden="1">#REF!</definedName>
    <definedName name="GGGGG" hidden="1">#REF!</definedName>
    <definedName name="gggggggggg" localSheetId="0" hidden="1">#REF!</definedName>
    <definedName name="gggggggggg" hidden="1">#REF!</definedName>
    <definedName name="GGGGGGGGGGGGG" localSheetId="0" hidden="1">#REF!</definedName>
    <definedName name="GGGGGGGGGGGGG" hidden="1">#REF!</definedName>
    <definedName name="gggggggggggggg" localSheetId="0" hidden="1">#REF!</definedName>
    <definedName name="gggggggggggggg" hidden="1">#REF!</definedName>
    <definedName name="gggggggggggggggg" localSheetId="0" hidden="1">#REF!</definedName>
    <definedName name="gggggggggggggggg" hidden="1">#REF!</definedName>
    <definedName name="ggjlkagjlkgj" localSheetId="0" hidden="1">#REF!</definedName>
    <definedName name="ggjlkagjlkgj" hidden="1">#REF!</definedName>
    <definedName name="Ghichu_Chitieu">'[8]BSC.KPI (2015-2020)'!$E$6:$V$193</definedName>
    <definedName name="giatricongviec" localSheetId="0">#REF!</definedName>
    <definedName name="giatricongviec">#REF!</definedName>
    <definedName name="ginic" localSheetId="0" hidden="1">#REF!</definedName>
    <definedName name="ginic" hidden="1">#REF!</definedName>
    <definedName name="gjkgh" localSheetId="0" hidden="1">#REF!</definedName>
    <definedName name="gjkgh" hidden="1">#REF!</definedName>
    <definedName name="gjkhgsj" localSheetId="0" hidden="1">#REF!</definedName>
    <definedName name="gjkhgsj" hidden="1">#REF!</definedName>
    <definedName name="gkho" localSheetId="0">#REF!</definedName>
    <definedName name="gkho">#REF!</definedName>
    <definedName name="gsfjgkjgklj" localSheetId="0" hidden="1">#REF!</definedName>
    <definedName name="gsfjgkjgklj" hidden="1">#REF!</definedName>
    <definedName name="gsfjkjfkjfk" localSheetId="0" hidden="1">#REF!</definedName>
    <definedName name="gsfjkjfkjfk" hidden="1">#REF!</definedName>
    <definedName name="gskgjsgj" localSheetId="0" hidden="1">#REF!</definedName>
    <definedName name="gskgjsgj" hidden="1">#REF!</definedName>
    <definedName name="hang" localSheetId="0">#REF!</definedName>
    <definedName name="hang">#REF!</definedName>
    <definedName name="hh" localSheetId="0" hidden="1">#REF!</definedName>
    <definedName name="hh" hidden="1">#REF!</definedName>
    <definedName name="hhhhhhhh" localSheetId="0" hidden="1">#REF!</definedName>
    <definedName name="hhhhhhhh" hidden="1">#REF!</definedName>
    <definedName name="hhhhhhhhh" localSheetId="0" hidden="1">#REF!</definedName>
    <definedName name="hhhhhhhhh" hidden="1">#REF!</definedName>
    <definedName name="hhhhhhhhhhh" localSheetId="0" hidden="1">#REF!</definedName>
    <definedName name="hhhhhhhhhhh" hidden="1">#REF!</definedName>
    <definedName name="hhhhhhhhhhhh" localSheetId="0">'[1]COAT&amp;WRAP-QIOT-#3'!#REF!</definedName>
    <definedName name="hhhhhhhhhhhh">'[1]COAT&amp;WRAP-QIOT-#3'!#REF!</definedName>
    <definedName name="HHHHHHHHHHHHHHHH" localSheetId="0" hidden="1">#REF!</definedName>
    <definedName name="HHHHHHHHHHHHHHHH" hidden="1">#REF!</definedName>
    <definedName name="hhhhhhhhhhhhhhhhhhhh" localSheetId="0">#REF!</definedName>
    <definedName name="hhhhhhhhhhhhhhhhhhhh">#REF!</definedName>
    <definedName name="HHHHHHHHHHHHHHHHHHHHHH" localSheetId="0">#REF!</definedName>
    <definedName name="HHHHHHHHHHHHHHHHHHHHHH">#REF!</definedName>
    <definedName name="hhhhhhhhhhhhhhhhhhhhhhh" localSheetId="0" hidden="1">#REF!</definedName>
    <definedName name="hhhhhhhhhhhhhhhhhhhhhhh" hidden="1">#REF!</definedName>
    <definedName name="IO" localSheetId="0">'[1]COAT&amp;WRAP-QIOT-#3'!#REF!</definedName>
    <definedName name="IO">'[1]COAT&amp;WRAP-QIOT-#3'!#REF!</definedName>
    <definedName name="iso" localSheetId="0" hidden="1">#REF!</definedName>
    <definedName name="iso" hidden="1">#REF!</definedName>
    <definedName name="ITUOAUFOSAJG" localSheetId="0" hidden="1">#REF!</definedName>
    <definedName name="ITUOAUFOSAJG" hidden="1">#REF!</definedName>
    <definedName name="j" localSheetId="0" hidden="1">#REF!</definedName>
    <definedName name="j" hidden="1">#REF!</definedName>
    <definedName name="jj" localSheetId="0" hidden="1">#REF!</definedName>
    <definedName name="jj" hidden="1">#REF!</definedName>
    <definedName name="jjjjj" localSheetId="0" hidden="1">#REF!</definedName>
    <definedName name="jjjjj" hidden="1">#REF!</definedName>
    <definedName name="JJJJJJJJJJJJJJJ" localSheetId="0" hidden="1">#REF!</definedName>
    <definedName name="JJJJJJJJJJJJJJJ" hidden="1">#REF!</definedName>
    <definedName name="jjjjjjjjjjjjjjjjjjf" localSheetId="0" hidden="1">#REF!</definedName>
    <definedName name="jjjjjjjjjjjjjjjjjjf" hidden="1">#REF!</definedName>
    <definedName name="jjjjjjjjjjjjjjjjjjjjjjjjjjjjjjjjjjjjjj" localSheetId="0" hidden="1">#REF!</definedName>
    <definedName name="jjjjjjjjjjjjjjjjjjjjjjjjjjjjjjjjjjjjjj" hidden="1">#REF!</definedName>
    <definedName name="k" localSheetId="0">#REF!</definedName>
    <definedName name="k">#REF!</definedName>
    <definedName name="KD" localSheetId="0" hidden="1">#REF!</definedName>
    <definedName name="KD" hidden="1">#REF!</definedName>
    <definedName name="KDGC" localSheetId="0" hidden="1">#REF!</definedName>
    <definedName name="KDGC" hidden="1">#REF!</definedName>
    <definedName name="KDGC1" localSheetId="0" hidden="1">#REF!</definedName>
    <definedName name="KDGC1" hidden="1">#REF!</definedName>
    <definedName name="KDGC2" localSheetId="0" hidden="1">#REF!</definedName>
    <definedName name="KDGC2" hidden="1">#REF!</definedName>
    <definedName name="KDGC90" localSheetId="0" hidden="1">#REF!</definedName>
    <definedName name="KDGC90" hidden="1">#REF!</definedName>
    <definedName name="kdhhhhhhhhhhhhhhhhhhhhh" localSheetId="0" hidden="1">#REF!</definedName>
    <definedName name="kdhhhhhhhhhhhhhhhhhhhhh" hidden="1">#REF!</definedName>
    <definedName name="khungbac" localSheetId="0">#REF!</definedName>
    <definedName name="khungbac">#REF!</definedName>
    <definedName name="khungluong" localSheetId="0">#REF!</definedName>
    <definedName name="khungluong">#REF!</definedName>
    <definedName name="kjfkjkljj" localSheetId="0" hidden="1">#REF!</definedName>
    <definedName name="kjfkjkljj" hidden="1">#REF!</definedName>
    <definedName name="klajgjljkjf" localSheetId="0" hidden="1">#REF!</definedName>
    <definedName name="klajgjljkjf" hidden="1">#REF!</definedName>
    <definedName name="KLJGLSAHFGLAH" localSheetId="0" hidden="1">#REF!</definedName>
    <definedName name="KLJGLSAHFGLAH" hidden="1">#REF!</definedName>
    <definedName name="kljzhsdkjfhs" localSheetId="0">#REF!</definedName>
    <definedName name="kljzhsdkjfhs">#REF!</definedName>
    <definedName name="KPI">[8]StrategyMap!$G$71:$I$181</definedName>
    <definedName name="KPI_add">'[8]BSC.KPI (2015-2020)'!$E$6:$F$95</definedName>
    <definedName name="KPO">[8]StrategyMap!$F$71:$H$165</definedName>
    <definedName name="lcn">[9]DONVI!$B$6:$C$43</definedName>
    <definedName name="lfjfjkfjjfjf" localSheetId="0" hidden="1">#REF!</definedName>
    <definedName name="lfjfjkfjjfjf" hidden="1">#REF!</definedName>
    <definedName name="lll" localSheetId="0" hidden="1">#REF!</definedName>
    <definedName name="lll" hidden="1">#REF!</definedName>
    <definedName name="llll" localSheetId="0" hidden="1">#REF!</definedName>
    <definedName name="llll" hidden="1">#REF!</definedName>
    <definedName name="llllllllllllllllllllll" localSheetId="0" hidden="1">#REF!</definedName>
    <definedName name="llllllllllllllllllllll" hidden="1">#REF!</definedName>
    <definedName name="lllllllllllllllllllllllll" localSheetId="0" hidden="1">#REF!</definedName>
    <definedName name="lllllllllllllllllllllllll" hidden="1">#REF!</definedName>
    <definedName name="LLLLLLLLLLLLLLLLLLLLLLLLLL" localSheetId="0" hidden="1">#REF!</definedName>
    <definedName name="LLLLLLLLLLLLLLLLLLLLLLLLLL" hidden="1">#REF!</definedName>
    <definedName name="lllllllllllllllllllllllllllllllll" localSheetId="0" hidden="1">#REF!</definedName>
    <definedName name="lllllllllllllllllllllllllllllllll" hidden="1">#REF!</definedName>
    <definedName name="luong">[9]HDONG!$B$6:$I$587</definedName>
    <definedName name="Ma_KPI">'[8]BSC.KPI (2015-2020)'!$E$6:$E$97</definedName>
    <definedName name="MAT" localSheetId="0">'[1]COAT&amp;WRAP-QIOT-#3'!#REF!</definedName>
    <definedName name="MAT">'[1]COAT&amp;WRAP-QIOT-#3'!#REF!</definedName>
    <definedName name="mdv">[9]DONVI!$B$6:$C$41</definedName>
    <definedName name="MF" localSheetId="0">'[1]COAT&amp;WRAP-QIOT-#3'!#REF!</definedName>
    <definedName name="MF">'[1]COAT&amp;WRAP-QIOT-#3'!#REF!</definedName>
    <definedName name="mhd">[9]HDONG!$B$6:$I$549</definedName>
    <definedName name="mmmmmmmmmmmmmm" localSheetId="0">#REF!</definedName>
    <definedName name="mmmmmmmmmmmmmm">#REF!</definedName>
    <definedName name="mnv_d">[9]HDONG!$B$6:$B$413</definedName>
    <definedName name="N" localSheetId="0">#REF!</definedName>
    <definedName name="N">#REF!</definedName>
    <definedName name="New" localSheetId="0" hidden="1">#REF!</definedName>
    <definedName name="New" hidden="1">#REF!</definedName>
    <definedName name="Nglieu" hidden="1">{#N/A,#N/A,TRUE,"Th.4"}</definedName>
    <definedName name="nlcm_cn">'[10]Danh gia NL chuyen mon ca nhan'!$C$5:$P$73</definedName>
    <definedName name="NN" localSheetId="0" hidden="1">#REF!</definedName>
    <definedName name="NN" hidden="1">#REF!</definedName>
    <definedName name="NVkho" localSheetId="0">#REF!</definedName>
    <definedName name="NVkho">#REF!</definedName>
    <definedName name="o" localSheetId="0">#REF!</definedName>
    <definedName name="o">#REF!</definedName>
    <definedName name="oooooooooooooooo" localSheetId="0" hidden="1">#REF!</definedName>
    <definedName name="oooooooooooooooo" hidden="1">#REF!</definedName>
    <definedName name="P" localSheetId="0">'[1]PNT-QUOT-#3'!#REF!</definedName>
    <definedName name="P">'[1]PNT-QUOT-#3'!#REF!</definedName>
    <definedName name="pc" localSheetId="0">#REF!</definedName>
    <definedName name="pc">#REF!</definedName>
    <definedName name="PEJM" localSheetId="0">'[1]COAT&amp;WRAP-QIOT-#3'!#REF!</definedName>
    <definedName name="PEJM">'[1]COAT&amp;WRAP-QIOT-#3'!#REF!</definedName>
    <definedName name="PF" localSheetId="0">'[1]PNT-QUOT-#3'!#REF!</definedName>
    <definedName name="PF">'[1]PNT-QUOT-#3'!#REF!</definedName>
    <definedName name="Phanbo_KPI">'[8]BSC.KPI (2015-2020)'!$V$6:$AL$97</definedName>
    <definedName name="pl" localSheetId="0" hidden="1">#REF!</definedName>
    <definedName name="pl" hidden="1">#REF!</definedName>
    <definedName name="PM">[11]IBASE!$AH$16:$AV$110</definedName>
    <definedName name="_xlnm.Print_Area" localSheetId="0">'Quý 3,2025'!$A$1:$AX$89</definedName>
    <definedName name="Print_Area_MI">[12]ESTI.!$A$1:$U$52</definedName>
    <definedName name="_xlnm.Print_Titles" localSheetId="0">'Quý 3,2025'!$A:$E</definedName>
    <definedName name="_xlnm.Print_Titles">#N/A</definedName>
    <definedName name="Q" localSheetId="0" hidden="1">#REF!</definedName>
    <definedName name="Q" hidden="1">#REF!</definedName>
    <definedName name="Q11111111111111" localSheetId="0" hidden="1">#REF!</definedName>
    <definedName name="Q11111111111111" hidden="1">#REF!</definedName>
    <definedName name="QQ" localSheetId="0" hidden="1">#REF!</definedName>
    <definedName name="QQ" hidden="1">#REF!</definedName>
    <definedName name="qqqqqqqqqqqqqq" localSheetId="0" hidden="1">#REF!</definedName>
    <definedName name="qqqqqqqqqqqqqq" hidden="1">#REF!</definedName>
    <definedName name="QQQQQQQQQQQQQQQQQQ" localSheetId="0">#REF!</definedName>
    <definedName name="QQQQQQQQQQQQQQQQQQ">#REF!</definedName>
    <definedName name="qqqqqqqqqqqqqqqqqqq" localSheetId="0" hidden="1">#REF!</definedName>
    <definedName name="qqqqqqqqqqqqqqqqqqq" hidden="1">#REF!</definedName>
    <definedName name="rr" localSheetId="0" hidden="1">#REF!</definedName>
    <definedName name="rr" hidden="1">#REF!</definedName>
    <definedName name="RRWAHSJKK" localSheetId="0">#REF!</definedName>
    <definedName name="RRWAHSJKK">#REF!</definedName>
    <definedName name="RT" localSheetId="0">'[1]COAT&amp;WRAP-QIOT-#3'!#REF!</definedName>
    <definedName name="RT">'[1]COAT&amp;WRAP-QIOT-#3'!#REF!</definedName>
    <definedName name="RỪLKJSKLFSKLFJ" localSheetId="0" hidden="1">#REF!</definedName>
    <definedName name="RỪLKJSKLFSKLFJ" hidden="1">#REF!</definedName>
    <definedName name="SB">[11]IBASE!$AH$7:$AL$14</definedName>
    <definedName name="sfauisfuaifu" localSheetId="0" hidden="1">#REF!</definedName>
    <definedName name="sfauisfuaifu" hidden="1">#REF!</definedName>
    <definedName name="sfjlifjlfj" localSheetId="0" hidden="1">#REF!</definedName>
    <definedName name="sfjlifjlfj" hidden="1">#REF!</definedName>
    <definedName name="SFKKKKKKK" localSheetId="0" hidden="1">#REF!</definedName>
    <definedName name="SFKKKKKKK" hidden="1">#REF!</definedName>
    <definedName name="SFSFJFJFKFJ" localSheetId="0" hidden="1">#REF!</definedName>
    <definedName name="SFSFJFJFKFJ" hidden="1">#REF!</definedName>
    <definedName name="Sheet1" localSheetId="0">#REF!</definedName>
    <definedName name="Sheet1">#REF!</definedName>
    <definedName name="SKJLSGJGJLKGJGJ" localSheetId="0" hidden="1">#REF!</definedName>
    <definedName name="SKJLSGJGJLKGJGJ" hidden="1">#REF!</definedName>
    <definedName name="SM" localSheetId="0" hidden="1">#REF!</definedName>
    <definedName name="SM" hidden="1">#REF!</definedName>
    <definedName name="SORT" localSheetId="0">#REF!</definedName>
    <definedName name="SORT">#REF!</definedName>
    <definedName name="SORT_AREA">'[12]DI-ESTI'!$A$8:$R$489</definedName>
    <definedName name="SP" localSheetId="0">'[1]PNT-QUOT-#3'!#REF!</definedName>
    <definedName name="SP">'[1]PNT-QUOT-#3'!#REF!</definedName>
    <definedName name="ssd" localSheetId="0" hidden="1">#REF!</definedName>
    <definedName name="ssd" hidden="1">#REF!</definedName>
    <definedName name="SSSSSSSSSSSSS" localSheetId="0" hidden="1">#REF!</definedName>
    <definedName name="SSSSSSSSSSSSS" hidden="1">#REF!</definedName>
    <definedName name="ssssssssssssssssssssssssssssssss" localSheetId="0" hidden="1">#REF!</definedName>
    <definedName name="ssssssssssssssssssssssssssssssss" hidden="1">#REF!</definedName>
    <definedName name="Start26" localSheetId="0">#REF!</definedName>
    <definedName name="Start26">#REF!</definedName>
    <definedName name="Start27" localSheetId="0">#REF!</definedName>
    <definedName name="Start27">#REF!</definedName>
    <definedName name="Start31" localSheetId="0">#REF!</definedName>
    <definedName name="Start31">#REF!</definedName>
    <definedName name="THK" localSheetId="0">'[1]COAT&amp;WRAP-QIOT-#3'!#REF!</definedName>
    <definedName name="THK">'[1]COAT&amp;WRAP-QIOT-#3'!#REF!</definedName>
    <definedName name="ttttttttttttttt" localSheetId="0" hidden="1">#REF!</definedName>
    <definedName name="ttttttttttttttt" hidden="1">#REF!</definedName>
    <definedName name="tttttttttttttttttttttttttt" localSheetId="0" hidden="1">#REF!</definedName>
    <definedName name="tttttttttttttttttttttttttt" hidden="1">#REF!</definedName>
    <definedName name="uuuuuuuuuuuuuu" localSheetId="0" hidden="1">#REF!</definedName>
    <definedName name="uuuuuuuuuuuuuu" hidden="1">#REF!</definedName>
    <definedName name="uuuuuuuuuuuuuuuuuu" localSheetId="0" hidden="1">#REF!</definedName>
    <definedName name="uuuuuuuuuuuuuuuuuu" hidden="1">#REF!</definedName>
    <definedName name="vitri" localSheetId="0">#REF!</definedName>
    <definedName name="vitri">#REF!</definedName>
    <definedName name="vsFGastgwawat" localSheetId="0">#REF!</definedName>
    <definedName name="vsFGastgwawat">#REF!</definedName>
    <definedName name="w" localSheetId="0" hidden="1">#REF!</definedName>
    <definedName name="w" hidden="1">#REF!</definedName>
    <definedName name="wrn.Bao._.cao._.nhap." hidden="1">{#N/A,#N/A,TRUE,"Th.4"}</definedName>
    <definedName name="wrn.Ng._.lieu." hidden="1">{#N/A,#N/A,TRUE,"Th.4"}</definedName>
    <definedName name="ww" localSheetId="0">#REF!</definedName>
    <definedName name="ww">#REF!</definedName>
    <definedName name="xnk" localSheetId="0">#REF!</definedName>
    <definedName name="xnk">#REF!</definedName>
    <definedName name="Xuong" localSheetId="0">#REF!</definedName>
    <definedName name="Xuong">#REF!</definedName>
    <definedName name="XX" localSheetId="0">#REF!</definedName>
    <definedName name="XX">#REF!</definedName>
    <definedName name="yyyy" localSheetId="0" hidden="1">#REF!</definedName>
    <definedName name="yyyy" hidden="1">#REF!</definedName>
    <definedName name="yyyyyyyyyyyyyyy" localSheetId="0" hidden="1">#REF!</definedName>
    <definedName name="yyyyyyyyyyyyyyy" hidden="1">#REF!</definedName>
    <definedName name="ZYX" localSheetId="0">#REF!</definedName>
    <definedName name="ZYX">#REF!</definedName>
    <definedName name="ZZZ" localSheetId="0">#REF!</definedName>
    <definedName name="ZZZ">#REF!</definedName>
    <definedName name="zzzzzzzzzzzzzzzzzzzz" localSheetId="0" hidden="1">#REF!</definedName>
    <definedName name="zzzzzzzzzzzzzzzzzzzz"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0" i="3" l="1"/>
  <c r="U89" i="3"/>
  <c r="N89" i="3"/>
  <c r="AI88" i="3"/>
  <c r="AI87" i="3"/>
  <c r="AI86" i="3"/>
  <c r="AB86" i="3"/>
  <c r="AI85" i="3"/>
  <c r="AI84" i="3"/>
  <c r="AI83" i="3"/>
  <c r="AI82" i="3"/>
  <c r="AB82" i="3"/>
  <c r="AI81" i="3"/>
  <c r="U80" i="3"/>
  <c r="U90" i="3" s="1"/>
  <c r="AM79" i="3"/>
  <c r="AL79" i="3"/>
  <c r="I79" i="3"/>
  <c r="AN78" i="3"/>
  <c r="AD78" i="3"/>
  <c r="AD88" i="3" s="1"/>
  <c r="AC78" i="3"/>
  <c r="AB78" i="3"/>
  <c r="AB100" i="3" s="1"/>
  <c r="W78" i="3"/>
  <c r="W88" i="3" s="1"/>
  <c r="W100" i="3" s="1"/>
  <c r="V78" i="3"/>
  <c r="AL78" i="3" s="1"/>
  <c r="U78" i="3"/>
  <c r="U100" i="3" s="1"/>
  <c r="P78" i="3"/>
  <c r="P88" i="3" s="1"/>
  <c r="O78" i="3"/>
  <c r="O88" i="3" s="1"/>
  <c r="O100" i="3" s="1"/>
  <c r="N78" i="3"/>
  <c r="N100" i="3" s="1"/>
  <c r="AN77" i="3"/>
  <c r="AM77" i="3"/>
  <c r="AL77" i="3"/>
  <c r="AK77" i="3"/>
  <c r="AJ77" i="3"/>
  <c r="AI77" i="3"/>
  <c r="AA77" i="3"/>
  <c r="Z77" i="3"/>
  <c r="Y77" i="3"/>
  <c r="X77" i="3"/>
  <c r="T77" i="3"/>
  <c r="S77" i="3"/>
  <c r="AG77" i="3" s="1"/>
  <c r="R77" i="3"/>
  <c r="AF77" i="3" s="1"/>
  <c r="Q77" i="3"/>
  <c r="M77" i="3"/>
  <c r="AH77" i="3" s="1"/>
  <c r="L77" i="3"/>
  <c r="K77" i="3"/>
  <c r="J77" i="3"/>
  <c r="AE77" i="3" s="1"/>
  <c r="H77" i="3"/>
  <c r="G77" i="3"/>
  <c r="F77" i="3"/>
  <c r="I77" i="3" s="1"/>
  <c r="AN76" i="3"/>
  <c r="AM76" i="3"/>
  <c r="AL76" i="3"/>
  <c r="AK76" i="3"/>
  <c r="AJ76" i="3"/>
  <c r="AI76" i="3"/>
  <c r="AG76" i="3"/>
  <c r="AA76" i="3"/>
  <c r="Z76" i="3"/>
  <c r="Y76" i="3"/>
  <c r="X76" i="3"/>
  <c r="T76" i="3"/>
  <c r="AH76" i="3" s="1"/>
  <c r="S76" i="3"/>
  <c r="R76" i="3"/>
  <c r="AF76" i="3" s="1"/>
  <c r="Q76" i="3"/>
  <c r="M76" i="3"/>
  <c r="L76" i="3"/>
  <c r="K76" i="3"/>
  <c r="J76" i="3"/>
  <c r="AE76" i="3" s="1"/>
  <c r="H76" i="3"/>
  <c r="G76" i="3"/>
  <c r="I76" i="3" s="1"/>
  <c r="F76" i="3"/>
  <c r="AN75" i="3"/>
  <c r="AM75" i="3"/>
  <c r="AL75" i="3"/>
  <c r="AK75" i="3"/>
  <c r="AJ75" i="3"/>
  <c r="AI75" i="3"/>
  <c r="AA75" i="3"/>
  <c r="Z75" i="3"/>
  <c r="Y75" i="3"/>
  <c r="X75" i="3"/>
  <c r="T75" i="3"/>
  <c r="AH75" i="3" s="1"/>
  <c r="S75" i="3"/>
  <c r="R75" i="3"/>
  <c r="Q75" i="3"/>
  <c r="M75" i="3"/>
  <c r="L75" i="3"/>
  <c r="AG75" i="3" s="1"/>
  <c r="K75" i="3"/>
  <c r="AF75" i="3" s="1"/>
  <c r="J75" i="3"/>
  <c r="AE75" i="3" s="1"/>
  <c r="I75" i="3"/>
  <c r="H75" i="3"/>
  <c r="G75" i="3"/>
  <c r="F75" i="3"/>
  <c r="AN74" i="3"/>
  <c r="AM74" i="3"/>
  <c r="AL74" i="3"/>
  <c r="AK74" i="3"/>
  <c r="AJ74" i="3"/>
  <c r="AI74" i="3"/>
  <c r="AA74" i="3"/>
  <c r="Z74" i="3"/>
  <c r="Y74" i="3"/>
  <c r="X74" i="3"/>
  <c r="T74" i="3"/>
  <c r="S74" i="3"/>
  <c r="AG74" i="3" s="1"/>
  <c r="R74" i="3"/>
  <c r="Q74" i="3"/>
  <c r="AE74" i="3" s="1"/>
  <c r="M74" i="3"/>
  <c r="AH74" i="3" s="1"/>
  <c r="L74" i="3"/>
  <c r="K74" i="3"/>
  <c r="AF74" i="3" s="1"/>
  <c r="J74" i="3"/>
  <c r="H74" i="3"/>
  <c r="G74" i="3"/>
  <c r="F74" i="3"/>
  <c r="AN73" i="3"/>
  <c r="AM73" i="3"/>
  <c r="AL73" i="3"/>
  <c r="AK73" i="3"/>
  <c r="AJ73" i="3"/>
  <c r="AI73" i="3"/>
  <c r="AA73" i="3"/>
  <c r="AA78" i="3" s="1"/>
  <c r="AA88" i="3" s="1"/>
  <c r="AA100" i="3" s="1"/>
  <c r="Z73" i="3"/>
  <c r="Y73" i="3"/>
  <c r="X73" i="3"/>
  <c r="T73" i="3"/>
  <c r="S73" i="3"/>
  <c r="AG73" i="3" s="1"/>
  <c r="R73" i="3"/>
  <c r="AF73" i="3" s="1"/>
  <c r="Q73" i="3"/>
  <c r="M73" i="3"/>
  <c r="AH73" i="3" s="1"/>
  <c r="L73" i="3"/>
  <c r="K73" i="3"/>
  <c r="J73" i="3"/>
  <c r="AE73" i="3" s="1"/>
  <c r="H73" i="3"/>
  <c r="G73" i="3"/>
  <c r="F73" i="3"/>
  <c r="I73" i="3" s="1"/>
  <c r="AN72" i="3"/>
  <c r="AM72" i="3"/>
  <c r="AL72" i="3"/>
  <c r="AK72" i="3"/>
  <c r="AJ72" i="3"/>
  <c r="AI72" i="3"/>
  <c r="AH72" i="3"/>
  <c r="AG72" i="3"/>
  <c r="AA72" i="3"/>
  <c r="Z72" i="3"/>
  <c r="Y72" i="3"/>
  <c r="X72" i="3"/>
  <c r="T72" i="3"/>
  <c r="S72" i="3"/>
  <c r="R72" i="3"/>
  <c r="AF72" i="3" s="1"/>
  <c r="Q72" i="3"/>
  <c r="M72" i="3"/>
  <c r="L72" i="3"/>
  <c r="K72" i="3"/>
  <c r="J72" i="3"/>
  <c r="AE72" i="3" s="1"/>
  <c r="H72" i="3"/>
  <c r="G72" i="3"/>
  <c r="I72" i="3" s="1"/>
  <c r="F72" i="3"/>
  <c r="AN71" i="3"/>
  <c r="AM71" i="3"/>
  <c r="AL71" i="3"/>
  <c r="AK71" i="3"/>
  <c r="AJ71" i="3"/>
  <c r="AI71" i="3"/>
  <c r="AI78" i="3" s="1"/>
  <c r="AH71" i="3"/>
  <c r="AA71" i="3"/>
  <c r="Z71" i="3"/>
  <c r="Y71" i="3"/>
  <c r="X71" i="3"/>
  <c r="X78" i="3" s="1"/>
  <c r="X88" i="3" s="1"/>
  <c r="X100" i="3" s="1"/>
  <c r="T71" i="3"/>
  <c r="T78" i="3" s="1"/>
  <c r="T88" i="3" s="1"/>
  <c r="T100" i="3" s="1"/>
  <c r="S71" i="3"/>
  <c r="R71" i="3"/>
  <c r="Q71" i="3"/>
  <c r="M71" i="3"/>
  <c r="L71" i="3"/>
  <c r="AG71" i="3" s="1"/>
  <c r="K71" i="3"/>
  <c r="AF71" i="3" s="1"/>
  <c r="J71" i="3"/>
  <c r="AE71" i="3" s="1"/>
  <c r="I71" i="3"/>
  <c r="H71" i="3"/>
  <c r="G71" i="3"/>
  <c r="F71" i="3"/>
  <c r="AN70" i="3"/>
  <c r="AM70" i="3"/>
  <c r="AL70" i="3"/>
  <c r="AK70" i="3"/>
  <c r="AK78" i="3" s="1"/>
  <c r="AJ70" i="3"/>
  <c r="AJ78" i="3" s="1"/>
  <c r="AI70" i="3"/>
  <c r="AA70" i="3"/>
  <c r="Z70" i="3"/>
  <c r="Y70" i="3"/>
  <c r="Y78" i="3" s="1"/>
  <c r="Y88" i="3" s="1"/>
  <c r="Y100" i="3" s="1"/>
  <c r="X70" i="3"/>
  <c r="T70" i="3"/>
  <c r="S70" i="3"/>
  <c r="AG70" i="3" s="1"/>
  <c r="AG78" i="3" s="1"/>
  <c r="AG88" i="3" s="1"/>
  <c r="AG100" i="3" s="1"/>
  <c r="R70" i="3"/>
  <c r="R78" i="3" s="1"/>
  <c r="R88" i="3" s="1"/>
  <c r="R100" i="3" s="1"/>
  <c r="Q70" i="3"/>
  <c r="AE70" i="3" s="1"/>
  <c r="M70" i="3"/>
  <c r="AH70" i="3" s="1"/>
  <c r="L70" i="3"/>
  <c r="L78" i="3" s="1"/>
  <c r="L88" i="3" s="1"/>
  <c r="K70" i="3"/>
  <c r="AF70" i="3" s="1"/>
  <c r="AF78" i="3" s="1"/>
  <c r="AF88" i="3" s="1"/>
  <c r="AF100" i="3" s="1"/>
  <c r="J70" i="3"/>
  <c r="J78" i="3" s="1"/>
  <c r="J88" i="3" s="1"/>
  <c r="H70" i="3"/>
  <c r="H78" i="3" s="1"/>
  <c r="H88" i="3" s="1"/>
  <c r="G70" i="3"/>
  <c r="G78" i="3" s="1"/>
  <c r="G88" i="3" s="1"/>
  <c r="F70" i="3"/>
  <c r="F78" i="3" s="1"/>
  <c r="F88" i="3" s="1"/>
  <c r="AD69" i="3"/>
  <c r="AD87" i="3" s="1"/>
  <c r="AC69" i="3"/>
  <c r="AC87" i="3" s="1"/>
  <c r="AB69" i="3"/>
  <c r="AB99" i="3" s="1"/>
  <c r="W69" i="3"/>
  <c r="W87" i="3" s="1"/>
  <c r="W99" i="3" s="1"/>
  <c r="V69" i="3"/>
  <c r="V87" i="3" s="1"/>
  <c r="U69" i="3"/>
  <c r="U99" i="3" s="1"/>
  <c r="P69" i="3"/>
  <c r="P87" i="3" s="1"/>
  <c r="O69" i="3"/>
  <c r="O87" i="3" s="1"/>
  <c r="O99" i="3" s="1"/>
  <c r="N69" i="3"/>
  <c r="N99" i="3" s="1"/>
  <c r="AN68" i="3"/>
  <c r="AM68" i="3"/>
  <c r="AL68" i="3"/>
  <c r="AK68" i="3"/>
  <c r="AJ68" i="3"/>
  <c r="AI68" i="3"/>
  <c r="AI69" i="3" s="1"/>
  <c r="AA68" i="3"/>
  <c r="Z68" i="3"/>
  <c r="Y68" i="3"/>
  <c r="X68" i="3"/>
  <c r="T68" i="3"/>
  <c r="S68" i="3"/>
  <c r="AG68" i="3" s="1"/>
  <c r="R68" i="3"/>
  <c r="Q68" i="3"/>
  <c r="M68" i="3"/>
  <c r="AH68" i="3" s="1"/>
  <c r="L68" i="3"/>
  <c r="K68" i="3"/>
  <c r="AF68" i="3" s="1"/>
  <c r="J68" i="3"/>
  <c r="AE68" i="3" s="1"/>
  <c r="H68" i="3"/>
  <c r="I68" i="3" s="1"/>
  <c r="AN67" i="3"/>
  <c r="AM67" i="3"/>
  <c r="AL67" i="3"/>
  <c r="AK67" i="3"/>
  <c r="AJ67" i="3"/>
  <c r="AI67" i="3"/>
  <c r="AG67" i="3"/>
  <c r="AA67" i="3"/>
  <c r="Z67" i="3"/>
  <c r="Y67" i="3"/>
  <c r="X67" i="3"/>
  <c r="T67" i="3"/>
  <c r="S67" i="3"/>
  <c r="R67" i="3"/>
  <c r="Q67" i="3"/>
  <c r="M67" i="3"/>
  <c r="AH67" i="3" s="1"/>
  <c r="L67" i="3"/>
  <c r="K67" i="3"/>
  <c r="AF67" i="3" s="1"/>
  <c r="J67" i="3"/>
  <c r="AE67" i="3" s="1"/>
  <c r="I67" i="3"/>
  <c r="H67" i="3"/>
  <c r="G67" i="3"/>
  <c r="F67" i="3"/>
  <c r="AN66" i="3"/>
  <c r="AM66" i="3"/>
  <c r="AL66" i="3"/>
  <c r="AK66" i="3"/>
  <c r="AJ66" i="3"/>
  <c r="AI66" i="3"/>
  <c r="AF66" i="3"/>
  <c r="AA66" i="3"/>
  <c r="Z66" i="3"/>
  <c r="Y66" i="3"/>
  <c r="X66" i="3"/>
  <c r="T66" i="3"/>
  <c r="S66" i="3"/>
  <c r="R66" i="3"/>
  <c r="Q66" i="3"/>
  <c r="M66" i="3"/>
  <c r="AH66" i="3" s="1"/>
  <c r="L66" i="3"/>
  <c r="AG66" i="3" s="1"/>
  <c r="K66" i="3"/>
  <c r="J66" i="3"/>
  <c r="AE66" i="3" s="1"/>
  <c r="H66" i="3"/>
  <c r="G66" i="3"/>
  <c r="F66" i="3"/>
  <c r="AN65" i="3"/>
  <c r="AM65" i="3"/>
  <c r="AL65" i="3"/>
  <c r="AK65" i="3"/>
  <c r="AJ65" i="3"/>
  <c r="AI65" i="3"/>
  <c r="AH65" i="3"/>
  <c r="AA65" i="3"/>
  <c r="Z65" i="3"/>
  <c r="Y65" i="3"/>
  <c r="X65" i="3"/>
  <c r="T65" i="3"/>
  <c r="S65" i="3"/>
  <c r="R65" i="3"/>
  <c r="AF65" i="3" s="1"/>
  <c r="Q65" i="3"/>
  <c r="AE65" i="3" s="1"/>
  <c r="M65" i="3"/>
  <c r="L65" i="3"/>
  <c r="AG65" i="3" s="1"/>
  <c r="K65" i="3"/>
  <c r="J65" i="3"/>
  <c r="I65" i="3"/>
  <c r="H65" i="3"/>
  <c r="G65" i="3"/>
  <c r="F65" i="3"/>
  <c r="AN64" i="3"/>
  <c r="AM64" i="3"/>
  <c r="AL64" i="3"/>
  <c r="AK64" i="3"/>
  <c r="AJ64" i="3"/>
  <c r="AI64" i="3"/>
  <c r="AA64" i="3"/>
  <c r="Z64" i="3"/>
  <c r="Y64" i="3"/>
  <c r="X64" i="3"/>
  <c r="T64" i="3"/>
  <c r="AH64" i="3" s="1"/>
  <c r="S64" i="3"/>
  <c r="AG64" i="3" s="1"/>
  <c r="R64" i="3"/>
  <c r="Q64" i="3"/>
  <c r="AE64" i="3" s="1"/>
  <c r="M64" i="3"/>
  <c r="L64" i="3"/>
  <c r="K64" i="3"/>
  <c r="AF64" i="3" s="1"/>
  <c r="J64" i="3"/>
  <c r="H64" i="3"/>
  <c r="G64" i="3"/>
  <c r="F64" i="3"/>
  <c r="I64" i="3" s="1"/>
  <c r="AN63" i="3"/>
  <c r="AM63" i="3"/>
  <c r="AL63" i="3"/>
  <c r="AK63" i="3"/>
  <c r="AJ63" i="3"/>
  <c r="AI63" i="3"/>
  <c r="AH63" i="3"/>
  <c r="AG63" i="3"/>
  <c r="AA63" i="3"/>
  <c r="Z63" i="3"/>
  <c r="Y63" i="3"/>
  <c r="X63" i="3"/>
  <c r="T63" i="3"/>
  <c r="S63" i="3"/>
  <c r="R63" i="3"/>
  <c r="Q63" i="3"/>
  <c r="M63" i="3"/>
  <c r="L63" i="3"/>
  <c r="K63" i="3"/>
  <c r="AF63" i="3" s="1"/>
  <c r="J63" i="3"/>
  <c r="AE63" i="3" s="1"/>
  <c r="I63" i="3"/>
  <c r="H63" i="3"/>
  <c r="G63" i="3"/>
  <c r="F63" i="3"/>
  <c r="AN62" i="3"/>
  <c r="AM62" i="3"/>
  <c r="AL62" i="3"/>
  <c r="AK62" i="3"/>
  <c r="AJ62" i="3"/>
  <c r="AI62" i="3"/>
  <c r="AF62" i="3"/>
  <c r="AA62" i="3"/>
  <c r="Z62" i="3"/>
  <c r="Y62" i="3"/>
  <c r="X62" i="3"/>
  <c r="X69" i="3" s="1"/>
  <c r="X87" i="3" s="1"/>
  <c r="X99" i="3" s="1"/>
  <c r="T62" i="3"/>
  <c r="S62" i="3"/>
  <c r="R62" i="3"/>
  <c r="Q62" i="3"/>
  <c r="M62" i="3"/>
  <c r="AH62" i="3" s="1"/>
  <c r="L62" i="3"/>
  <c r="AG62" i="3" s="1"/>
  <c r="K62" i="3"/>
  <c r="J62" i="3"/>
  <c r="AE62" i="3" s="1"/>
  <c r="H62" i="3"/>
  <c r="G62" i="3"/>
  <c r="F62" i="3"/>
  <c r="AN61" i="3"/>
  <c r="AM61" i="3"/>
  <c r="AL61" i="3"/>
  <c r="AK61" i="3"/>
  <c r="AJ61" i="3"/>
  <c r="AJ69" i="3" s="1"/>
  <c r="AI61" i="3"/>
  <c r="AA61" i="3"/>
  <c r="AA69" i="3" s="1"/>
  <c r="AA87" i="3" s="1"/>
  <c r="AA99" i="3" s="1"/>
  <c r="Z61" i="3"/>
  <c r="Z69" i="3" s="1"/>
  <c r="Z87" i="3" s="1"/>
  <c r="Z99" i="3" s="1"/>
  <c r="Y61" i="3"/>
  <c r="X61" i="3"/>
  <c r="T61" i="3"/>
  <c r="T69" i="3" s="1"/>
  <c r="T87" i="3" s="1"/>
  <c r="T99" i="3" s="1"/>
  <c r="S61" i="3"/>
  <c r="S69" i="3" s="1"/>
  <c r="S87" i="3" s="1"/>
  <c r="S99" i="3" s="1"/>
  <c r="R61" i="3"/>
  <c r="Q61" i="3"/>
  <c r="Q69" i="3" s="1"/>
  <c r="Q87" i="3" s="1"/>
  <c r="Q99" i="3" s="1"/>
  <c r="M61" i="3"/>
  <c r="L61" i="3"/>
  <c r="K61" i="3"/>
  <c r="K69" i="3" s="1"/>
  <c r="K87" i="3" s="1"/>
  <c r="J61" i="3"/>
  <c r="J69" i="3" s="1"/>
  <c r="J87" i="3" s="1"/>
  <c r="I61" i="3"/>
  <c r="H61" i="3"/>
  <c r="H69" i="3" s="1"/>
  <c r="H87" i="3" s="1"/>
  <c r="G61" i="3"/>
  <c r="G69" i="3" s="1"/>
  <c r="G87" i="3" s="1"/>
  <c r="F61" i="3"/>
  <c r="F69" i="3" s="1"/>
  <c r="F87" i="3" s="1"/>
  <c r="AL60" i="3"/>
  <c r="AD60" i="3"/>
  <c r="AD86" i="3" s="1"/>
  <c r="AC60" i="3"/>
  <c r="AC86" i="3" s="1"/>
  <c r="AB60" i="3"/>
  <c r="AA60" i="3"/>
  <c r="AA86" i="3" s="1"/>
  <c r="AA98" i="3" s="1"/>
  <c r="W60" i="3"/>
  <c r="W86" i="3" s="1"/>
  <c r="W98" i="3" s="1"/>
  <c r="V60" i="3"/>
  <c r="V86" i="3" s="1"/>
  <c r="U60" i="3"/>
  <c r="U98" i="3" s="1"/>
  <c r="P60" i="3"/>
  <c r="P86" i="3" s="1"/>
  <c r="O60" i="3"/>
  <c r="O86" i="3" s="1"/>
  <c r="O98" i="3" s="1"/>
  <c r="N60" i="3"/>
  <c r="N98" i="3" s="1"/>
  <c r="AN59" i="3"/>
  <c r="AM59" i="3"/>
  <c r="AL59" i="3"/>
  <c r="AK59" i="3"/>
  <c r="AJ59" i="3"/>
  <c r="AI59" i="3"/>
  <c r="AA59" i="3"/>
  <c r="Z59" i="3"/>
  <c r="Y59" i="3"/>
  <c r="X59" i="3"/>
  <c r="T59" i="3"/>
  <c r="S59" i="3"/>
  <c r="R59" i="3"/>
  <c r="Q59" i="3"/>
  <c r="AE59" i="3" s="1"/>
  <c r="M59" i="3"/>
  <c r="AH59" i="3" s="1"/>
  <c r="L59" i="3"/>
  <c r="AG59" i="3" s="1"/>
  <c r="K59" i="3"/>
  <c r="AF59" i="3" s="1"/>
  <c r="J59" i="3"/>
  <c r="H59" i="3"/>
  <c r="G59" i="3"/>
  <c r="F59" i="3"/>
  <c r="I59" i="3" s="1"/>
  <c r="AN58" i="3"/>
  <c r="AM58" i="3"/>
  <c r="AL58" i="3"/>
  <c r="AK58" i="3"/>
  <c r="AJ58" i="3"/>
  <c r="AI58" i="3"/>
  <c r="AA58" i="3"/>
  <c r="Z58" i="3"/>
  <c r="Y58" i="3"/>
  <c r="X58" i="3"/>
  <c r="T58" i="3"/>
  <c r="S58" i="3"/>
  <c r="R58" i="3"/>
  <c r="Q58" i="3"/>
  <c r="AE58" i="3" s="1"/>
  <c r="M58" i="3"/>
  <c r="L58" i="3"/>
  <c r="AG58" i="3" s="1"/>
  <c r="K58" i="3"/>
  <c r="AF58" i="3" s="1"/>
  <c r="J58" i="3"/>
  <c r="H58" i="3"/>
  <c r="G58" i="3"/>
  <c r="F58" i="3"/>
  <c r="I58" i="3" s="1"/>
  <c r="AN57" i="3"/>
  <c r="AM57" i="3"/>
  <c r="AL57" i="3"/>
  <c r="AK57" i="3"/>
  <c r="AJ57" i="3"/>
  <c r="AI57" i="3"/>
  <c r="AA57" i="3"/>
  <c r="Z57" i="3"/>
  <c r="Y57" i="3"/>
  <c r="X57" i="3"/>
  <c r="T57" i="3"/>
  <c r="AH57" i="3" s="1"/>
  <c r="S57" i="3"/>
  <c r="AG57" i="3" s="1"/>
  <c r="R57" i="3"/>
  <c r="Q57" i="3"/>
  <c r="AE57" i="3" s="1"/>
  <c r="M57" i="3"/>
  <c r="L57" i="3"/>
  <c r="K57" i="3"/>
  <c r="AF57" i="3" s="1"/>
  <c r="J57" i="3"/>
  <c r="H57" i="3"/>
  <c r="G57" i="3"/>
  <c r="F57" i="3"/>
  <c r="I57" i="3" s="1"/>
  <c r="AN56" i="3"/>
  <c r="AM56" i="3"/>
  <c r="AL56" i="3"/>
  <c r="AK56" i="3"/>
  <c r="AJ56" i="3"/>
  <c r="AI56" i="3"/>
  <c r="AA56" i="3"/>
  <c r="Z56" i="3"/>
  <c r="Y56" i="3"/>
  <c r="X56" i="3"/>
  <c r="T56" i="3"/>
  <c r="S56" i="3"/>
  <c r="S60" i="3" s="1"/>
  <c r="S86" i="3" s="1"/>
  <c r="S98" i="3" s="1"/>
  <c r="R56" i="3"/>
  <c r="Q56" i="3"/>
  <c r="M56" i="3"/>
  <c r="AH56" i="3" s="1"/>
  <c r="L56" i="3"/>
  <c r="K56" i="3"/>
  <c r="AF56" i="3" s="1"/>
  <c r="J56" i="3"/>
  <c r="AE56" i="3" s="1"/>
  <c r="H56" i="3"/>
  <c r="I56" i="3" s="1"/>
  <c r="G56" i="3"/>
  <c r="F56" i="3"/>
  <c r="AN55" i="3"/>
  <c r="AM55" i="3"/>
  <c r="AL55" i="3"/>
  <c r="AK55" i="3"/>
  <c r="AJ55" i="3"/>
  <c r="AI55" i="3"/>
  <c r="AI60" i="3" s="1"/>
  <c r="AA55" i="3"/>
  <c r="Z55" i="3"/>
  <c r="Y55" i="3"/>
  <c r="X55" i="3"/>
  <c r="X60" i="3" s="1"/>
  <c r="X86" i="3" s="1"/>
  <c r="X98" i="3" s="1"/>
  <c r="T55" i="3"/>
  <c r="S55" i="3"/>
  <c r="R55" i="3"/>
  <c r="Q55" i="3"/>
  <c r="M55" i="3"/>
  <c r="AH55" i="3" s="1"/>
  <c r="L55" i="3"/>
  <c r="AG55" i="3" s="1"/>
  <c r="K55" i="3"/>
  <c r="AF55" i="3" s="1"/>
  <c r="J55" i="3"/>
  <c r="J60" i="3" s="1"/>
  <c r="J86" i="3" s="1"/>
  <c r="H55" i="3"/>
  <c r="G55" i="3"/>
  <c r="I55" i="3" s="1"/>
  <c r="F55" i="3"/>
  <c r="AN54" i="3"/>
  <c r="AM54" i="3"/>
  <c r="AL54" i="3"/>
  <c r="AK54" i="3"/>
  <c r="AK60" i="3" s="1"/>
  <c r="AJ54" i="3"/>
  <c r="AJ60" i="3" s="1"/>
  <c r="AI54" i="3"/>
  <c r="AA54" i="3"/>
  <c r="Z54" i="3"/>
  <c r="Z60" i="3" s="1"/>
  <c r="Z86" i="3" s="1"/>
  <c r="Z98" i="3" s="1"/>
  <c r="Y54" i="3"/>
  <c r="Y60" i="3" s="1"/>
  <c r="Y86" i="3" s="1"/>
  <c r="Y98" i="3" s="1"/>
  <c r="X54" i="3"/>
  <c r="T54" i="3"/>
  <c r="T60" i="3" s="1"/>
  <c r="T86" i="3" s="1"/>
  <c r="T98" i="3" s="1"/>
  <c r="S54" i="3"/>
  <c r="R54" i="3"/>
  <c r="R60" i="3" s="1"/>
  <c r="R86" i="3" s="1"/>
  <c r="R98" i="3" s="1"/>
  <c r="Q54" i="3"/>
  <c r="AE54" i="3" s="1"/>
  <c r="M54" i="3"/>
  <c r="M60" i="3" s="1"/>
  <c r="M86" i="3" s="1"/>
  <c r="L54" i="3"/>
  <c r="L60" i="3" s="1"/>
  <c r="L86" i="3" s="1"/>
  <c r="K54" i="3"/>
  <c r="AF54" i="3" s="1"/>
  <c r="J54" i="3"/>
  <c r="I54" i="3"/>
  <c r="H54" i="3"/>
  <c r="H60" i="3" s="1"/>
  <c r="H86" i="3" s="1"/>
  <c r="G54" i="3"/>
  <c r="G60" i="3" s="1"/>
  <c r="G86" i="3" s="1"/>
  <c r="F54" i="3"/>
  <c r="F60" i="3" s="1"/>
  <c r="F86" i="3" s="1"/>
  <c r="AM53" i="3"/>
  <c r="AD53" i="3"/>
  <c r="AD85" i="3" s="1"/>
  <c r="AC53" i="3"/>
  <c r="AC85" i="3" s="1"/>
  <c r="AB53" i="3"/>
  <c r="AB97" i="3" s="1"/>
  <c r="W53" i="3"/>
  <c r="W85" i="3" s="1"/>
  <c r="W97" i="3" s="1"/>
  <c r="V53" i="3"/>
  <c r="V85" i="3" s="1"/>
  <c r="U53" i="3"/>
  <c r="U97" i="3" s="1"/>
  <c r="P53" i="3"/>
  <c r="P85" i="3" s="1"/>
  <c r="O53" i="3"/>
  <c r="O85" i="3" s="1"/>
  <c r="O97" i="3" s="1"/>
  <c r="N53" i="3"/>
  <c r="N97" i="3" s="1"/>
  <c r="AN52" i="3"/>
  <c r="AM52" i="3"/>
  <c r="AL52" i="3"/>
  <c r="AK52" i="3"/>
  <c r="AJ52" i="3"/>
  <c r="AI52" i="3"/>
  <c r="AA52" i="3"/>
  <c r="Z52" i="3"/>
  <c r="Y52" i="3"/>
  <c r="X52" i="3"/>
  <c r="T52" i="3"/>
  <c r="AH52" i="3" s="1"/>
  <c r="S52" i="3"/>
  <c r="AG52" i="3" s="1"/>
  <c r="R52" i="3"/>
  <c r="Q52" i="3"/>
  <c r="M52" i="3"/>
  <c r="L52" i="3"/>
  <c r="K52" i="3"/>
  <c r="AF52" i="3" s="1"/>
  <c r="J52" i="3"/>
  <c r="AE52" i="3" s="1"/>
  <c r="I52" i="3"/>
  <c r="H52" i="3"/>
  <c r="G52" i="3"/>
  <c r="F52" i="3"/>
  <c r="AN51" i="3"/>
  <c r="AM51" i="3"/>
  <c r="AL51" i="3"/>
  <c r="AK51" i="3"/>
  <c r="AJ51" i="3"/>
  <c r="AI51" i="3"/>
  <c r="AA51" i="3"/>
  <c r="Z51" i="3"/>
  <c r="Y51" i="3"/>
  <c r="X51" i="3"/>
  <c r="T51" i="3"/>
  <c r="S51" i="3"/>
  <c r="R51" i="3"/>
  <c r="Q51" i="3"/>
  <c r="M51" i="3"/>
  <c r="AH51" i="3" s="1"/>
  <c r="L51" i="3"/>
  <c r="AG51" i="3" s="1"/>
  <c r="K51" i="3"/>
  <c r="AF51" i="3" s="1"/>
  <c r="J51" i="3"/>
  <c r="AE51" i="3" s="1"/>
  <c r="H51" i="3"/>
  <c r="G51" i="3"/>
  <c r="F51" i="3"/>
  <c r="I51" i="3" s="1"/>
  <c r="AN50" i="3"/>
  <c r="AM50" i="3"/>
  <c r="AL50" i="3"/>
  <c r="AK50" i="3"/>
  <c r="AJ50" i="3"/>
  <c r="AI50" i="3"/>
  <c r="AA50" i="3"/>
  <c r="Z50" i="3"/>
  <c r="Y50" i="3"/>
  <c r="X50" i="3"/>
  <c r="T50" i="3"/>
  <c r="S50" i="3"/>
  <c r="R50" i="3"/>
  <c r="AF50" i="3" s="1"/>
  <c r="Q50" i="3"/>
  <c r="AE50" i="3" s="1"/>
  <c r="M50" i="3"/>
  <c r="AH50" i="3" s="1"/>
  <c r="L50" i="3"/>
  <c r="AG50" i="3" s="1"/>
  <c r="K50" i="3"/>
  <c r="J50" i="3"/>
  <c r="H50" i="3"/>
  <c r="G50" i="3"/>
  <c r="F50" i="3"/>
  <c r="I50" i="3" s="1"/>
  <c r="AN49" i="3"/>
  <c r="AM49" i="3"/>
  <c r="AL49" i="3"/>
  <c r="AK49" i="3"/>
  <c r="AJ49" i="3"/>
  <c r="AI49" i="3"/>
  <c r="AA49" i="3"/>
  <c r="Z49" i="3"/>
  <c r="Y49" i="3"/>
  <c r="X49" i="3"/>
  <c r="T49" i="3"/>
  <c r="AH49" i="3" s="1"/>
  <c r="S49" i="3"/>
  <c r="AG49" i="3" s="1"/>
  <c r="R49" i="3"/>
  <c r="AF49" i="3" s="1"/>
  <c r="Q49" i="3"/>
  <c r="AE49" i="3" s="1"/>
  <c r="M49" i="3"/>
  <c r="L49" i="3"/>
  <c r="K49" i="3"/>
  <c r="J49" i="3"/>
  <c r="H49" i="3"/>
  <c r="H53" i="3" s="1"/>
  <c r="H85" i="3" s="1"/>
  <c r="G49" i="3"/>
  <c r="G53" i="3" s="1"/>
  <c r="G85" i="3" s="1"/>
  <c r="F49" i="3"/>
  <c r="I49" i="3" s="1"/>
  <c r="AN48" i="3"/>
  <c r="AM48" i="3"/>
  <c r="AL48" i="3"/>
  <c r="AK48" i="3"/>
  <c r="AJ48" i="3"/>
  <c r="AI48" i="3"/>
  <c r="AA48" i="3"/>
  <c r="Z48" i="3"/>
  <c r="Y48" i="3"/>
  <c r="X48" i="3"/>
  <c r="T48" i="3"/>
  <c r="AH48" i="3" s="1"/>
  <c r="S48" i="3"/>
  <c r="AG48" i="3" s="1"/>
  <c r="R48" i="3"/>
  <c r="Q48" i="3"/>
  <c r="M48" i="3"/>
  <c r="L48" i="3"/>
  <c r="K48" i="3"/>
  <c r="AF48" i="3" s="1"/>
  <c r="J48" i="3"/>
  <c r="AE48" i="3" s="1"/>
  <c r="I48" i="3"/>
  <c r="G48" i="3"/>
  <c r="F48" i="3"/>
  <c r="AN47" i="3"/>
  <c r="AM47" i="3"/>
  <c r="AL47" i="3"/>
  <c r="AK47" i="3"/>
  <c r="AJ47" i="3"/>
  <c r="AI47" i="3"/>
  <c r="AA47" i="3"/>
  <c r="Z47" i="3"/>
  <c r="Y47" i="3"/>
  <c r="X47" i="3"/>
  <c r="X53" i="3" s="1"/>
  <c r="X85" i="3" s="1"/>
  <c r="X97" i="3" s="1"/>
  <c r="T47" i="3"/>
  <c r="AH47" i="3" s="1"/>
  <c r="S47" i="3"/>
  <c r="R47" i="3"/>
  <c r="Q47" i="3"/>
  <c r="M47" i="3"/>
  <c r="L47" i="3"/>
  <c r="AG47" i="3" s="1"/>
  <c r="K47" i="3"/>
  <c r="AF47" i="3" s="1"/>
  <c r="J47" i="3"/>
  <c r="AE47" i="3" s="1"/>
  <c r="I47" i="3"/>
  <c r="H47" i="3"/>
  <c r="G47" i="3"/>
  <c r="F47" i="3"/>
  <c r="AN46" i="3"/>
  <c r="AM46" i="3"/>
  <c r="AL46" i="3"/>
  <c r="AK46" i="3"/>
  <c r="AJ46" i="3"/>
  <c r="AI46" i="3"/>
  <c r="AA46" i="3"/>
  <c r="Z46" i="3"/>
  <c r="Y46" i="3"/>
  <c r="X46" i="3"/>
  <c r="T46" i="3"/>
  <c r="S46" i="3"/>
  <c r="R46" i="3"/>
  <c r="Q46" i="3"/>
  <c r="AE46" i="3" s="1"/>
  <c r="M46" i="3"/>
  <c r="AH46" i="3" s="1"/>
  <c r="L46" i="3"/>
  <c r="AG46" i="3" s="1"/>
  <c r="K46" i="3"/>
  <c r="AF46" i="3" s="1"/>
  <c r="J46" i="3"/>
  <c r="I46" i="3"/>
  <c r="H46" i="3"/>
  <c r="AN45" i="3"/>
  <c r="AM45" i="3"/>
  <c r="AL45" i="3"/>
  <c r="AK45" i="3"/>
  <c r="AK53" i="3" s="1"/>
  <c r="AJ45" i="3"/>
  <c r="AJ53" i="3" s="1"/>
  <c r="AI45" i="3"/>
  <c r="AI53" i="3" s="1"/>
  <c r="AA45" i="3"/>
  <c r="AA53" i="3" s="1"/>
  <c r="AA85" i="3" s="1"/>
  <c r="AA97" i="3" s="1"/>
  <c r="Z45" i="3"/>
  <c r="Z53" i="3" s="1"/>
  <c r="Z85" i="3" s="1"/>
  <c r="Z97" i="3" s="1"/>
  <c r="Y45" i="3"/>
  <c r="Y53" i="3" s="1"/>
  <c r="Y85" i="3" s="1"/>
  <c r="Y97" i="3" s="1"/>
  <c r="X45" i="3"/>
  <c r="T45" i="3"/>
  <c r="T53" i="3" s="1"/>
  <c r="T85" i="3" s="1"/>
  <c r="T97" i="3" s="1"/>
  <c r="S45" i="3"/>
  <c r="S53" i="3" s="1"/>
  <c r="S85" i="3" s="1"/>
  <c r="S97" i="3" s="1"/>
  <c r="R45" i="3"/>
  <c r="R53" i="3" s="1"/>
  <c r="R85" i="3" s="1"/>
  <c r="R97" i="3" s="1"/>
  <c r="Q45" i="3"/>
  <c r="Q53" i="3" s="1"/>
  <c r="Q85" i="3" s="1"/>
  <c r="Q97" i="3" s="1"/>
  <c r="M45" i="3"/>
  <c r="M53" i="3" s="1"/>
  <c r="M85" i="3" s="1"/>
  <c r="L45" i="3"/>
  <c r="L53" i="3" s="1"/>
  <c r="L85" i="3" s="1"/>
  <c r="K45" i="3"/>
  <c r="AF45" i="3" s="1"/>
  <c r="AF53" i="3" s="1"/>
  <c r="AF85" i="3" s="1"/>
  <c r="AF97" i="3" s="1"/>
  <c r="J45" i="3"/>
  <c r="J53" i="3" s="1"/>
  <c r="J85" i="3" s="1"/>
  <c r="H45" i="3"/>
  <c r="G45" i="3"/>
  <c r="F45" i="3"/>
  <c r="F53" i="3" s="1"/>
  <c r="F85" i="3" s="1"/>
  <c r="AM44" i="3"/>
  <c r="AD44" i="3"/>
  <c r="AD84" i="3" s="1"/>
  <c r="AC44" i="3"/>
  <c r="AC84" i="3" s="1"/>
  <c r="AB44" i="3"/>
  <c r="AB96" i="3" s="1"/>
  <c r="W44" i="3"/>
  <c r="W84" i="3" s="1"/>
  <c r="W96" i="3" s="1"/>
  <c r="V44" i="3"/>
  <c r="V84" i="3" s="1"/>
  <c r="U44" i="3"/>
  <c r="U96" i="3" s="1"/>
  <c r="P44" i="3"/>
  <c r="P84" i="3" s="1"/>
  <c r="O44" i="3"/>
  <c r="O84" i="3" s="1"/>
  <c r="O96" i="3" s="1"/>
  <c r="N44" i="3"/>
  <c r="N96" i="3" s="1"/>
  <c r="AN43" i="3"/>
  <c r="AM43" i="3"/>
  <c r="AL43" i="3"/>
  <c r="AK43" i="3"/>
  <c r="AJ43" i="3"/>
  <c r="AI43" i="3"/>
  <c r="AH43" i="3"/>
  <c r="AA43" i="3"/>
  <c r="Z43" i="3"/>
  <c r="Y43" i="3"/>
  <c r="X43" i="3"/>
  <c r="T43" i="3"/>
  <c r="S43" i="3"/>
  <c r="AG43" i="3" s="1"/>
  <c r="R43" i="3"/>
  <c r="Q43" i="3"/>
  <c r="M43" i="3"/>
  <c r="L43" i="3"/>
  <c r="K43" i="3"/>
  <c r="AF43" i="3" s="1"/>
  <c r="J43" i="3"/>
  <c r="AE43" i="3" s="1"/>
  <c r="H43" i="3"/>
  <c r="I43" i="3" s="1"/>
  <c r="G43" i="3"/>
  <c r="AN42" i="3"/>
  <c r="AM42" i="3"/>
  <c r="AL42" i="3"/>
  <c r="AK42" i="3"/>
  <c r="AJ42" i="3"/>
  <c r="AI42" i="3"/>
  <c r="AA42" i="3"/>
  <c r="Z42" i="3"/>
  <c r="Y42" i="3"/>
  <c r="X42" i="3"/>
  <c r="T42" i="3"/>
  <c r="AH42" i="3" s="1"/>
  <c r="S42" i="3"/>
  <c r="R42" i="3"/>
  <c r="Q42" i="3"/>
  <c r="M42" i="3"/>
  <c r="L42" i="3"/>
  <c r="AG42" i="3" s="1"/>
  <c r="K42" i="3"/>
  <c r="AF42" i="3" s="1"/>
  <c r="J42" i="3"/>
  <c r="AE42" i="3" s="1"/>
  <c r="I42" i="3"/>
  <c r="H42" i="3"/>
  <c r="G42" i="3"/>
  <c r="F42" i="3"/>
  <c r="AN41" i="3"/>
  <c r="AM41" i="3"/>
  <c r="AL41" i="3"/>
  <c r="AK41" i="3"/>
  <c r="AJ41" i="3"/>
  <c r="AI41" i="3"/>
  <c r="AA41" i="3"/>
  <c r="Z41" i="3"/>
  <c r="Y41" i="3"/>
  <c r="X41" i="3"/>
  <c r="T41" i="3"/>
  <c r="AH41" i="3" s="1"/>
  <c r="S41" i="3"/>
  <c r="R41" i="3"/>
  <c r="Q41" i="3"/>
  <c r="AE41" i="3" s="1"/>
  <c r="M41" i="3"/>
  <c r="L41" i="3"/>
  <c r="AG41" i="3" s="1"/>
  <c r="K41" i="3"/>
  <c r="AF41" i="3" s="1"/>
  <c r="J41" i="3"/>
  <c r="H41" i="3"/>
  <c r="G41" i="3"/>
  <c r="F41" i="3"/>
  <c r="I41" i="3" s="1"/>
  <c r="AN40" i="3"/>
  <c r="AM40" i="3"/>
  <c r="AL40" i="3"/>
  <c r="AK40" i="3"/>
  <c r="AJ40" i="3"/>
  <c r="AI40" i="3"/>
  <c r="AG40" i="3"/>
  <c r="AA40" i="3"/>
  <c r="Z40" i="3"/>
  <c r="Y40" i="3"/>
  <c r="X40" i="3"/>
  <c r="T40" i="3"/>
  <c r="S40" i="3"/>
  <c r="R40" i="3"/>
  <c r="Q40" i="3"/>
  <c r="AE40" i="3" s="1"/>
  <c r="M40" i="3"/>
  <c r="AH40" i="3" s="1"/>
  <c r="L40" i="3"/>
  <c r="K40" i="3"/>
  <c r="AF40" i="3" s="1"/>
  <c r="J40" i="3"/>
  <c r="H40" i="3"/>
  <c r="G40" i="3"/>
  <c r="F40" i="3"/>
  <c r="I40" i="3" s="1"/>
  <c r="AN39" i="3"/>
  <c r="AM39" i="3"/>
  <c r="AL39" i="3"/>
  <c r="AK39" i="3"/>
  <c r="AJ39" i="3"/>
  <c r="AI39" i="3"/>
  <c r="AF39" i="3"/>
  <c r="AA39" i="3"/>
  <c r="Z39" i="3"/>
  <c r="Y39" i="3"/>
  <c r="X39" i="3"/>
  <c r="T39" i="3"/>
  <c r="S39" i="3"/>
  <c r="AG39" i="3" s="1"/>
  <c r="R39" i="3"/>
  <c r="Q39" i="3"/>
  <c r="M39" i="3"/>
  <c r="AH39" i="3" s="1"/>
  <c r="L39" i="3"/>
  <c r="K39" i="3"/>
  <c r="J39" i="3"/>
  <c r="AE39" i="3" s="1"/>
  <c r="H39" i="3"/>
  <c r="G39" i="3"/>
  <c r="I39" i="3" s="1"/>
  <c r="F39" i="3"/>
  <c r="AN38" i="3"/>
  <c r="AM38" i="3"/>
  <c r="AL38" i="3"/>
  <c r="AK38" i="3"/>
  <c r="AJ38" i="3"/>
  <c r="AI38" i="3"/>
  <c r="AH38" i="3"/>
  <c r="AA38" i="3"/>
  <c r="Z38" i="3"/>
  <c r="Y38" i="3"/>
  <c r="X38" i="3"/>
  <c r="T38" i="3"/>
  <c r="S38" i="3"/>
  <c r="R38" i="3"/>
  <c r="AF38" i="3" s="1"/>
  <c r="Q38" i="3"/>
  <c r="M38" i="3"/>
  <c r="L38" i="3"/>
  <c r="AG38" i="3" s="1"/>
  <c r="K38" i="3"/>
  <c r="J38" i="3"/>
  <c r="AE38" i="3" s="1"/>
  <c r="I38" i="3"/>
  <c r="H38" i="3"/>
  <c r="G38" i="3"/>
  <c r="F38" i="3"/>
  <c r="AN37" i="3"/>
  <c r="AM37" i="3"/>
  <c r="AL37" i="3"/>
  <c r="AK37" i="3"/>
  <c r="AJ37" i="3"/>
  <c r="AI37" i="3"/>
  <c r="AA37" i="3"/>
  <c r="Z37" i="3"/>
  <c r="Y37" i="3"/>
  <c r="X37" i="3"/>
  <c r="T37" i="3"/>
  <c r="AH37" i="3" s="1"/>
  <c r="S37" i="3"/>
  <c r="R37" i="3"/>
  <c r="Q37" i="3"/>
  <c r="AE37" i="3" s="1"/>
  <c r="M37" i="3"/>
  <c r="L37" i="3"/>
  <c r="AG37" i="3" s="1"/>
  <c r="K37" i="3"/>
  <c r="AF37" i="3" s="1"/>
  <c r="J37" i="3"/>
  <c r="H37" i="3"/>
  <c r="G37" i="3"/>
  <c r="F37" i="3"/>
  <c r="I37" i="3" s="1"/>
  <c r="AN36" i="3"/>
  <c r="AM36" i="3"/>
  <c r="AL36" i="3"/>
  <c r="AK36" i="3"/>
  <c r="AJ36" i="3"/>
  <c r="AI36" i="3"/>
  <c r="AG36" i="3"/>
  <c r="AA36" i="3"/>
  <c r="Z36" i="3"/>
  <c r="Y36" i="3"/>
  <c r="Y44" i="3" s="1"/>
  <c r="Y84" i="3" s="1"/>
  <c r="Y96" i="3" s="1"/>
  <c r="X36" i="3"/>
  <c r="T36" i="3"/>
  <c r="S36" i="3"/>
  <c r="R36" i="3"/>
  <c r="Q36" i="3"/>
  <c r="Q44" i="3" s="1"/>
  <c r="Q84" i="3" s="1"/>
  <c r="Q96" i="3" s="1"/>
  <c r="M36" i="3"/>
  <c r="AH36" i="3" s="1"/>
  <c r="L36" i="3"/>
  <c r="K36" i="3"/>
  <c r="AF36" i="3" s="1"/>
  <c r="J36" i="3"/>
  <c r="H36" i="3"/>
  <c r="H44" i="3" s="1"/>
  <c r="H84" i="3" s="1"/>
  <c r="G36" i="3"/>
  <c r="F36" i="3"/>
  <c r="I36" i="3" s="1"/>
  <c r="AN35" i="3"/>
  <c r="AM35" i="3"/>
  <c r="AL35" i="3"/>
  <c r="AK35" i="3"/>
  <c r="AK44" i="3" s="1"/>
  <c r="AJ35" i="3"/>
  <c r="AJ44" i="3" s="1"/>
  <c r="AI35" i="3"/>
  <c r="AI44" i="3" s="1"/>
  <c r="AG35" i="3"/>
  <c r="AG44" i="3" s="1"/>
  <c r="AG84" i="3" s="1"/>
  <c r="AG96" i="3" s="1"/>
  <c r="AA35" i="3"/>
  <c r="AA44" i="3" s="1"/>
  <c r="AA84" i="3" s="1"/>
  <c r="AA96" i="3" s="1"/>
  <c r="Z35" i="3"/>
  <c r="Z44" i="3" s="1"/>
  <c r="Z84" i="3" s="1"/>
  <c r="Z96" i="3" s="1"/>
  <c r="Y35" i="3"/>
  <c r="X35" i="3"/>
  <c r="X44" i="3" s="1"/>
  <c r="X84" i="3" s="1"/>
  <c r="X96" i="3" s="1"/>
  <c r="T35" i="3"/>
  <c r="T44" i="3" s="1"/>
  <c r="T84" i="3" s="1"/>
  <c r="T96" i="3" s="1"/>
  <c r="S35" i="3"/>
  <c r="S44" i="3" s="1"/>
  <c r="S84" i="3" s="1"/>
  <c r="S96" i="3" s="1"/>
  <c r="R35" i="3"/>
  <c r="R44" i="3" s="1"/>
  <c r="R84" i="3" s="1"/>
  <c r="R96" i="3" s="1"/>
  <c r="Q35" i="3"/>
  <c r="M35" i="3"/>
  <c r="AH35" i="3" s="1"/>
  <c r="L35" i="3"/>
  <c r="L44" i="3" s="1"/>
  <c r="L84" i="3" s="1"/>
  <c r="K35" i="3"/>
  <c r="K44" i="3" s="1"/>
  <c r="K84" i="3" s="1"/>
  <c r="J35" i="3"/>
  <c r="J44" i="3" s="1"/>
  <c r="J84" i="3" s="1"/>
  <c r="I35" i="3"/>
  <c r="I44" i="3" s="1"/>
  <c r="AM34" i="3"/>
  <c r="AD34" i="3"/>
  <c r="AD83" i="3" s="1"/>
  <c r="AC34" i="3"/>
  <c r="AC83" i="3" s="1"/>
  <c r="AB34" i="3"/>
  <c r="AB95" i="3" s="1"/>
  <c r="W34" i="3"/>
  <c r="W83" i="3" s="1"/>
  <c r="W95" i="3" s="1"/>
  <c r="V34" i="3"/>
  <c r="V83" i="3" s="1"/>
  <c r="U34" i="3"/>
  <c r="U95" i="3" s="1"/>
  <c r="P34" i="3"/>
  <c r="P83" i="3" s="1"/>
  <c r="O34" i="3"/>
  <c r="O83" i="3" s="1"/>
  <c r="O95" i="3" s="1"/>
  <c r="N34" i="3"/>
  <c r="N95" i="3" s="1"/>
  <c r="AN33" i="3"/>
  <c r="AM33" i="3"/>
  <c r="AL33" i="3"/>
  <c r="AK33" i="3"/>
  <c r="AJ33" i="3"/>
  <c r="AI33" i="3"/>
  <c r="AA33" i="3"/>
  <c r="Z33" i="3"/>
  <c r="Y33" i="3"/>
  <c r="X33" i="3"/>
  <c r="T33" i="3"/>
  <c r="AH33" i="3" s="1"/>
  <c r="S33" i="3"/>
  <c r="R33" i="3"/>
  <c r="AF33" i="3" s="1"/>
  <c r="Q33" i="3"/>
  <c r="M33" i="3"/>
  <c r="L33" i="3"/>
  <c r="AG33" i="3" s="1"/>
  <c r="K33" i="3"/>
  <c r="J33" i="3"/>
  <c r="AE33" i="3" s="1"/>
  <c r="I33" i="3"/>
  <c r="H33" i="3"/>
  <c r="G33" i="3"/>
  <c r="F33" i="3"/>
  <c r="AN32" i="3"/>
  <c r="AM32" i="3"/>
  <c r="AL32" i="3"/>
  <c r="AK32" i="3"/>
  <c r="AJ32" i="3"/>
  <c r="AI32" i="3"/>
  <c r="AA32" i="3"/>
  <c r="Z32" i="3"/>
  <c r="Y32" i="3"/>
  <c r="X32" i="3"/>
  <c r="T32" i="3"/>
  <c r="AH32" i="3" s="1"/>
  <c r="S32" i="3"/>
  <c r="R32" i="3"/>
  <c r="Q32" i="3"/>
  <c r="AE32" i="3" s="1"/>
  <c r="M32" i="3"/>
  <c r="L32" i="3"/>
  <c r="AG32" i="3" s="1"/>
  <c r="K32" i="3"/>
  <c r="AF32" i="3" s="1"/>
  <c r="J32" i="3"/>
  <c r="I32" i="3"/>
  <c r="H32" i="3"/>
  <c r="G32" i="3"/>
  <c r="F32" i="3"/>
  <c r="AN31" i="3"/>
  <c r="AM31" i="3"/>
  <c r="AL31" i="3"/>
  <c r="AK31" i="3"/>
  <c r="AJ31" i="3"/>
  <c r="AI31" i="3"/>
  <c r="AG31" i="3"/>
  <c r="AA31" i="3"/>
  <c r="Z31" i="3"/>
  <c r="Y31" i="3"/>
  <c r="X31" i="3"/>
  <c r="T31" i="3"/>
  <c r="S31" i="3"/>
  <c r="R31" i="3"/>
  <c r="Q31" i="3"/>
  <c r="AE31" i="3" s="1"/>
  <c r="M31" i="3"/>
  <c r="AH31" i="3" s="1"/>
  <c r="L31" i="3"/>
  <c r="K31" i="3"/>
  <c r="AF31" i="3" s="1"/>
  <c r="J31" i="3"/>
  <c r="H31" i="3"/>
  <c r="G31" i="3"/>
  <c r="F31" i="3"/>
  <c r="I31" i="3" s="1"/>
  <c r="AN30" i="3"/>
  <c r="AM30" i="3"/>
  <c r="AL30" i="3"/>
  <c r="AK30" i="3"/>
  <c r="AJ30" i="3"/>
  <c r="AI30" i="3"/>
  <c r="AG30" i="3"/>
  <c r="AF30" i="3"/>
  <c r="AA30" i="3"/>
  <c r="Z30" i="3"/>
  <c r="Y30" i="3"/>
  <c r="X30" i="3"/>
  <c r="T30" i="3"/>
  <c r="S30" i="3"/>
  <c r="R30" i="3"/>
  <c r="Q30" i="3"/>
  <c r="M30" i="3"/>
  <c r="AH30" i="3" s="1"/>
  <c r="L30" i="3"/>
  <c r="K30" i="3"/>
  <c r="J30" i="3"/>
  <c r="AE30" i="3" s="1"/>
  <c r="H30" i="3"/>
  <c r="H34" i="3" s="1"/>
  <c r="H83" i="3" s="1"/>
  <c r="G30" i="3"/>
  <c r="F30" i="3"/>
  <c r="AN29" i="3"/>
  <c r="AM29" i="3"/>
  <c r="AL29" i="3"/>
  <c r="AK29" i="3"/>
  <c r="AJ29" i="3"/>
  <c r="AI29" i="3"/>
  <c r="AA29" i="3"/>
  <c r="Z29" i="3"/>
  <c r="Y29" i="3"/>
  <c r="X29" i="3"/>
  <c r="X34" i="3" s="1"/>
  <c r="X83" i="3" s="1"/>
  <c r="X95" i="3" s="1"/>
  <c r="T29" i="3"/>
  <c r="AH29" i="3" s="1"/>
  <c r="S29" i="3"/>
  <c r="R29" i="3"/>
  <c r="AF29" i="3" s="1"/>
  <c r="Q29" i="3"/>
  <c r="M29" i="3"/>
  <c r="L29" i="3"/>
  <c r="AG29" i="3" s="1"/>
  <c r="K29" i="3"/>
  <c r="J29" i="3"/>
  <c r="AE29" i="3" s="1"/>
  <c r="I29" i="3"/>
  <c r="H29" i="3"/>
  <c r="G29" i="3"/>
  <c r="F29" i="3"/>
  <c r="AN28" i="3"/>
  <c r="AM28" i="3"/>
  <c r="AL28" i="3"/>
  <c r="AK28" i="3"/>
  <c r="AJ28" i="3"/>
  <c r="AI28" i="3"/>
  <c r="AH28" i="3"/>
  <c r="AA28" i="3"/>
  <c r="Z28" i="3"/>
  <c r="Y28" i="3"/>
  <c r="X28" i="3"/>
  <c r="T28" i="3"/>
  <c r="S28" i="3"/>
  <c r="R28" i="3"/>
  <c r="Q28" i="3"/>
  <c r="AE28" i="3" s="1"/>
  <c r="M28" i="3"/>
  <c r="L28" i="3"/>
  <c r="AG28" i="3" s="1"/>
  <c r="K28" i="3"/>
  <c r="AF28" i="3" s="1"/>
  <c r="J28" i="3"/>
  <c r="I28" i="3"/>
  <c r="H28" i="3"/>
  <c r="AN27" i="3"/>
  <c r="AM27" i="3"/>
  <c r="AL27" i="3"/>
  <c r="AK27" i="3"/>
  <c r="AK34" i="3" s="1"/>
  <c r="AJ27" i="3"/>
  <c r="AI27" i="3"/>
  <c r="AI34" i="3" s="1"/>
  <c r="AH27" i="3"/>
  <c r="AA27" i="3"/>
  <c r="AA34" i="3" s="1"/>
  <c r="AA83" i="3" s="1"/>
  <c r="AA95" i="3" s="1"/>
  <c r="Z27" i="3"/>
  <c r="Z34" i="3" s="1"/>
  <c r="Z83" i="3" s="1"/>
  <c r="Z95" i="3" s="1"/>
  <c r="Y27" i="3"/>
  <c r="X27" i="3"/>
  <c r="T27" i="3"/>
  <c r="S27" i="3"/>
  <c r="S34" i="3" s="1"/>
  <c r="S83" i="3" s="1"/>
  <c r="S95" i="3" s="1"/>
  <c r="R27" i="3"/>
  <c r="Q27" i="3"/>
  <c r="AE27" i="3" s="1"/>
  <c r="AE34" i="3" s="1"/>
  <c r="AE83" i="3" s="1"/>
  <c r="AE95" i="3" s="1"/>
  <c r="M27" i="3"/>
  <c r="L27" i="3"/>
  <c r="L34" i="3" s="1"/>
  <c r="L83" i="3" s="1"/>
  <c r="K27" i="3"/>
  <c r="J27" i="3"/>
  <c r="I27" i="3"/>
  <c r="H27" i="3"/>
  <c r="G27" i="3"/>
  <c r="F27" i="3"/>
  <c r="F34" i="3" s="1"/>
  <c r="F83" i="3" s="1"/>
  <c r="AL26" i="3"/>
  <c r="AD26" i="3"/>
  <c r="AD82" i="3" s="1"/>
  <c r="AC26" i="3"/>
  <c r="AC82" i="3" s="1"/>
  <c r="AB26" i="3"/>
  <c r="AB13" i="3" s="1"/>
  <c r="W26" i="3"/>
  <c r="W82" i="3" s="1"/>
  <c r="W94" i="3" s="1"/>
  <c r="V26" i="3"/>
  <c r="U26" i="3"/>
  <c r="U94" i="3" s="1"/>
  <c r="P26" i="3"/>
  <c r="P82" i="3" s="1"/>
  <c r="O26" i="3"/>
  <c r="O82" i="3" s="1"/>
  <c r="O94" i="3" s="1"/>
  <c r="N26" i="3"/>
  <c r="N94" i="3" s="1"/>
  <c r="G26" i="3"/>
  <c r="G82" i="3" s="1"/>
  <c r="F26" i="3"/>
  <c r="F82" i="3" s="1"/>
  <c r="AN25" i="3"/>
  <c r="AM25" i="3"/>
  <c r="AL25" i="3"/>
  <c r="AK25" i="3"/>
  <c r="AJ25" i="3"/>
  <c r="AI25" i="3"/>
  <c r="AA25" i="3"/>
  <c r="Z25" i="3"/>
  <c r="Y25" i="3"/>
  <c r="X25" i="3"/>
  <c r="T25" i="3"/>
  <c r="AH25" i="3" s="1"/>
  <c r="S25" i="3"/>
  <c r="AG25" i="3" s="1"/>
  <c r="R25" i="3"/>
  <c r="Q25" i="3"/>
  <c r="AE25" i="3" s="1"/>
  <c r="M25" i="3"/>
  <c r="L25" i="3"/>
  <c r="K25" i="3"/>
  <c r="AF25" i="3" s="1"/>
  <c r="J25" i="3"/>
  <c r="H25" i="3"/>
  <c r="I25" i="3" s="1"/>
  <c r="G25" i="3"/>
  <c r="F25" i="3"/>
  <c r="AN24" i="3"/>
  <c r="AM24" i="3"/>
  <c r="AL24" i="3"/>
  <c r="AK24" i="3"/>
  <c r="AJ24" i="3"/>
  <c r="AI24" i="3"/>
  <c r="AG24" i="3"/>
  <c r="AA24" i="3"/>
  <c r="Z24" i="3"/>
  <c r="Y24" i="3"/>
  <c r="X24" i="3"/>
  <c r="T24" i="3"/>
  <c r="S24" i="3"/>
  <c r="R24" i="3"/>
  <c r="Q24" i="3"/>
  <c r="M24" i="3"/>
  <c r="AH24" i="3" s="1"/>
  <c r="L24" i="3"/>
  <c r="K24" i="3"/>
  <c r="AF24" i="3" s="1"/>
  <c r="J24" i="3"/>
  <c r="AE24" i="3" s="1"/>
  <c r="G24" i="3"/>
  <c r="I24" i="3" s="1"/>
  <c r="AN23" i="3"/>
  <c r="AM23" i="3"/>
  <c r="AL23" i="3"/>
  <c r="AK23" i="3"/>
  <c r="AJ23" i="3"/>
  <c r="AI23" i="3"/>
  <c r="AG23" i="3"/>
  <c r="AA23" i="3"/>
  <c r="Z23" i="3"/>
  <c r="Y23" i="3"/>
  <c r="X23" i="3"/>
  <c r="T23" i="3"/>
  <c r="S23" i="3"/>
  <c r="R23" i="3"/>
  <c r="Q23" i="3"/>
  <c r="M23" i="3"/>
  <c r="AH23" i="3" s="1"/>
  <c r="L23" i="3"/>
  <c r="K23" i="3"/>
  <c r="AF23" i="3" s="1"/>
  <c r="J23" i="3"/>
  <c r="AE23" i="3" s="1"/>
  <c r="I23" i="3"/>
  <c r="AN22" i="3"/>
  <c r="AM22" i="3"/>
  <c r="AL22" i="3"/>
  <c r="AK22" i="3"/>
  <c r="AJ22" i="3"/>
  <c r="AI22" i="3"/>
  <c r="AH22" i="3"/>
  <c r="AA22" i="3"/>
  <c r="Z22" i="3"/>
  <c r="Y22" i="3"/>
  <c r="X22" i="3"/>
  <c r="T22" i="3"/>
  <c r="S22" i="3"/>
  <c r="R22" i="3"/>
  <c r="AF22" i="3" s="1"/>
  <c r="Q22" i="3"/>
  <c r="M22" i="3"/>
  <c r="L22" i="3"/>
  <c r="AG22" i="3" s="1"/>
  <c r="K22" i="3"/>
  <c r="J22" i="3"/>
  <c r="AE22" i="3" s="1"/>
  <c r="I22" i="3"/>
  <c r="H22" i="3"/>
  <c r="G22" i="3"/>
  <c r="F22" i="3"/>
  <c r="AN21" i="3"/>
  <c r="AM21" i="3"/>
  <c r="AL21" i="3"/>
  <c r="AK21" i="3"/>
  <c r="AK26" i="3" s="1"/>
  <c r="AJ21" i="3"/>
  <c r="AJ26" i="3" s="1"/>
  <c r="AI21" i="3"/>
  <c r="AA21" i="3"/>
  <c r="AA26" i="3" s="1"/>
  <c r="AA82" i="3" s="1"/>
  <c r="AA94" i="3" s="1"/>
  <c r="Z21" i="3"/>
  <c r="Z26" i="3" s="1"/>
  <c r="Z82" i="3" s="1"/>
  <c r="Z94" i="3" s="1"/>
  <c r="Y21" i="3"/>
  <c r="Y26" i="3" s="1"/>
  <c r="Y82" i="3" s="1"/>
  <c r="Y94" i="3" s="1"/>
  <c r="X21" i="3"/>
  <c r="T21" i="3"/>
  <c r="S21" i="3"/>
  <c r="R21" i="3"/>
  <c r="R26" i="3" s="1"/>
  <c r="R82" i="3" s="1"/>
  <c r="Q21" i="3"/>
  <c r="Q26" i="3" s="1"/>
  <c r="Q82" i="3" s="1"/>
  <c r="M21" i="3"/>
  <c r="M26" i="3" s="1"/>
  <c r="M82" i="3" s="1"/>
  <c r="L21" i="3"/>
  <c r="L26" i="3" s="1"/>
  <c r="L82" i="3" s="1"/>
  <c r="K21" i="3"/>
  <c r="J21" i="3"/>
  <c r="I21" i="3"/>
  <c r="G21" i="3"/>
  <c r="F21" i="3"/>
  <c r="AK20" i="3"/>
  <c r="AD20" i="3"/>
  <c r="AD81" i="3" s="1"/>
  <c r="AD80" i="3" s="1"/>
  <c r="AC20" i="3"/>
  <c r="AB20" i="3"/>
  <c r="AB93" i="3" s="1"/>
  <c r="W20" i="3"/>
  <c r="W81" i="3" s="1"/>
  <c r="W80" i="3" s="1"/>
  <c r="V20" i="3"/>
  <c r="AL20" i="3" s="1"/>
  <c r="U20" i="3"/>
  <c r="P20" i="3"/>
  <c r="P81" i="3" s="1"/>
  <c r="O20" i="3"/>
  <c r="O81" i="3" s="1"/>
  <c r="N20" i="3"/>
  <c r="N93" i="3" s="1"/>
  <c r="M20" i="3"/>
  <c r="AN19" i="3"/>
  <c r="AM19" i="3"/>
  <c r="AL19" i="3"/>
  <c r="AK19" i="3"/>
  <c r="AJ19" i="3"/>
  <c r="AI19" i="3"/>
  <c r="AG19" i="3"/>
  <c r="AF19" i="3"/>
  <c r="AA19" i="3"/>
  <c r="Z19" i="3"/>
  <c r="Y19" i="3"/>
  <c r="X19" i="3"/>
  <c r="T19" i="3"/>
  <c r="S19" i="3"/>
  <c r="S20" i="3" s="1"/>
  <c r="R19" i="3"/>
  <c r="Q19" i="3"/>
  <c r="M19" i="3"/>
  <c r="AH19" i="3" s="1"/>
  <c r="L19" i="3"/>
  <c r="K19" i="3"/>
  <c r="J19" i="3"/>
  <c r="AE19" i="3" s="1"/>
  <c r="H19" i="3"/>
  <c r="G19" i="3"/>
  <c r="I19" i="3" s="1"/>
  <c r="F19" i="3"/>
  <c r="AN18" i="3"/>
  <c r="AM18" i="3"/>
  <c r="AL18" i="3"/>
  <c r="AK18" i="3"/>
  <c r="AJ18" i="3"/>
  <c r="AI18" i="3"/>
  <c r="AH18" i="3"/>
  <c r="AA18" i="3"/>
  <c r="Z18" i="3"/>
  <c r="Y18" i="3"/>
  <c r="X18" i="3"/>
  <c r="T18" i="3"/>
  <c r="S18" i="3"/>
  <c r="R18" i="3"/>
  <c r="AF18" i="3" s="1"/>
  <c r="Q18" i="3"/>
  <c r="M18" i="3"/>
  <c r="L18" i="3"/>
  <c r="AG18" i="3" s="1"/>
  <c r="K18" i="3"/>
  <c r="J18" i="3"/>
  <c r="AE18" i="3" s="1"/>
  <c r="I18" i="3"/>
  <c r="H18" i="3"/>
  <c r="G18" i="3"/>
  <c r="F18" i="3"/>
  <c r="AN17" i="3"/>
  <c r="AM17" i="3"/>
  <c r="AL17" i="3"/>
  <c r="AK17" i="3"/>
  <c r="AJ17" i="3"/>
  <c r="AI17" i="3"/>
  <c r="AA17" i="3"/>
  <c r="Z17" i="3"/>
  <c r="Y17" i="3"/>
  <c r="X17" i="3"/>
  <c r="T17" i="3"/>
  <c r="AH17" i="3" s="1"/>
  <c r="S17" i="3"/>
  <c r="R17" i="3"/>
  <c r="Q17" i="3"/>
  <c r="AE17" i="3" s="1"/>
  <c r="M17" i="3"/>
  <c r="L17" i="3"/>
  <c r="AG17" i="3" s="1"/>
  <c r="K17" i="3"/>
  <c r="AF17" i="3" s="1"/>
  <c r="J17" i="3"/>
  <c r="I17" i="3"/>
  <c r="H17" i="3"/>
  <c r="G17" i="3"/>
  <c r="F17" i="3"/>
  <c r="AN16" i="3"/>
  <c r="AM16" i="3"/>
  <c r="AL16" i="3"/>
  <c r="AK16" i="3"/>
  <c r="AJ16" i="3"/>
  <c r="AI16" i="3"/>
  <c r="AG16" i="3"/>
  <c r="AA16" i="3"/>
  <c r="Z16" i="3"/>
  <c r="Y16" i="3"/>
  <c r="X16" i="3"/>
  <c r="T16" i="3"/>
  <c r="S16" i="3"/>
  <c r="R16" i="3"/>
  <c r="Q16" i="3"/>
  <c r="AE16" i="3" s="1"/>
  <c r="M16" i="3"/>
  <c r="AH16" i="3" s="1"/>
  <c r="L16" i="3"/>
  <c r="K16" i="3"/>
  <c r="AF16" i="3" s="1"/>
  <c r="J16" i="3"/>
  <c r="I16" i="3"/>
  <c r="AN15" i="3"/>
  <c r="AM15" i="3"/>
  <c r="AL15" i="3"/>
  <c r="AK15" i="3"/>
  <c r="AJ15" i="3"/>
  <c r="AI15" i="3"/>
  <c r="AI20" i="3" s="1"/>
  <c r="AA15" i="3"/>
  <c r="AA20" i="3" s="1"/>
  <c r="Z15" i="3"/>
  <c r="Y15" i="3"/>
  <c r="X15" i="3"/>
  <c r="X20" i="3" s="1"/>
  <c r="T15" i="3"/>
  <c r="S15" i="3"/>
  <c r="R15" i="3"/>
  <c r="Q15" i="3"/>
  <c r="M15" i="3"/>
  <c r="AH15" i="3" s="1"/>
  <c r="L15" i="3"/>
  <c r="AG15" i="3" s="1"/>
  <c r="K15" i="3"/>
  <c r="AF15" i="3" s="1"/>
  <c r="J15" i="3"/>
  <c r="AE15" i="3" s="1"/>
  <c r="H15" i="3"/>
  <c r="G15" i="3"/>
  <c r="F15" i="3"/>
  <c r="I15" i="3" s="1"/>
  <c r="AN14" i="3"/>
  <c r="AM14" i="3"/>
  <c r="AL14" i="3"/>
  <c r="AK14" i="3"/>
  <c r="AJ14" i="3"/>
  <c r="AJ20" i="3" s="1"/>
  <c r="AI14" i="3"/>
  <c r="AA14" i="3"/>
  <c r="Z14" i="3"/>
  <c r="Y14" i="3"/>
  <c r="Y20" i="3" s="1"/>
  <c r="Y81" i="3" s="1"/>
  <c r="X14" i="3"/>
  <c r="T14" i="3"/>
  <c r="AH14" i="3" s="1"/>
  <c r="S14" i="3"/>
  <c r="R14" i="3"/>
  <c r="AF14" i="3" s="1"/>
  <c r="Q14" i="3"/>
  <c r="Q20" i="3" s="1"/>
  <c r="Q93" i="3" s="1"/>
  <c r="M14" i="3"/>
  <c r="L14" i="3"/>
  <c r="AG14" i="3" s="1"/>
  <c r="K14" i="3"/>
  <c r="J14" i="3"/>
  <c r="J20" i="3" s="1"/>
  <c r="H14" i="3"/>
  <c r="H20" i="3" s="1"/>
  <c r="G14" i="3"/>
  <c r="F14" i="3"/>
  <c r="AK8" i="3"/>
  <c r="AB8" i="3"/>
  <c r="AA8" i="3"/>
  <c r="Z8" i="3"/>
  <c r="Y8" i="3"/>
  <c r="X8" i="3"/>
  <c r="V8" i="3"/>
  <c r="AC8" i="3" s="1"/>
  <c r="U8" i="3"/>
  <c r="T8" i="3" s="1"/>
  <c r="AH8" i="3" s="1"/>
  <c r="S8" i="3"/>
  <c r="R8" i="3"/>
  <c r="Q8" i="3"/>
  <c r="M8" i="3"/>
  <c r="L8" i="3"/>
  <c r="AG8" i="3" s="1"/>
  <c r="K8" i="3"/>
  <c r="AF8" i="3" s="1"/>
  <c r="J8" i="3"/>
  <c r="AE8" i="3" s="1"/>
  <c r="AA81" i="3" l="1"/>
  <c r="AA13" i="3"/>
  <c r="AJ34" i="3"/>
  <c r="AI8" i="3"/>
  <c r="AL8" i="3" s="1"/>
  <c r="Y93" i="3"/>
  <c r="V82" i="3"/>
  <c r="AM26" i="3"/>
  <c r="AE14" i="3"/>
  <c r="AE20" i="3" s="1"/>
  <c r="U93" i="3"/>
  <c r="U13" i="3"/>
  <c r="S26" i="3"/>
  <c r="S82" i="3" s="1"/>
  <c r="I34" i="3"/>
  <c r="T34" i="3"/>
  <c r="T83" i="3" s="1"/>
  <c r="T95" i="3" s="1"/>
  <c r="AH44" i="3"/>
  <c r="AH84" i="3" s="1"/>
  <c r="AH96" i="3" s="1"/>
  <c r="I85" i="3"/>
  <c r="AF60" i="3"/>
  <c r="AF86" i="3" s="1"/>
  <c r="AF98" i="3" s="1"/>
  <c r="I14" i="3"/>
  <c r="I20" i="3" s="1"/>
  <c r="F20" i="3"/>
  <c r="AF20" i="3"/>
  <c r="I26" i="3"/>
  <c r="T26" i="3"/>
  <c r="T82" i="3" s="1"/>
  <c r="I30" i="3"/>
  <c r="G34" i="3"/>
  <c r="G83" i="3" s="1"/>
  <c r="I83" i="3" s="1"/>
  <c r="AH34" i="3"/>
  <c r="AH83" i="3" s="1"/>
  <c r="AH95" i="3" s="1"/>
  <c r="R94" i="3"/>
  <c r="G20" i="3"/>
  <c r="AJ13" i="3"/>
  <c r="X81" i="3"/>
  <c r="J26" i="3"/>
  <c r="J82" i="3" s="1"/>
  <c r="X26" i="3"/>
  <c r="X82" i="3" s="1"/>
  <c r="X94" i="3" s="1"/>
  <c r="K34" i="3"/>
  <c r="K83" i="3" s="1"/>
  <c r="AF27" i="3"/>
  <c r="AF34" i="3" s="1"/>
  <c r="AF83" i="3" s="1"/>
  <c r="AF95" i="3" s="1"/>
  <c r="Y34" i="3"/>
  <c r="Y83" i="3" s="1"/>
  <c r="Y95" i="3" s="1"/>
  <c r="M81" i="3"/>
  <c r="AC81" i="3"/>
  <c r="AC13" i="3"/>
  <c r="AM20" i="3"/>
  <c r="H81" i="3"/>
  <c r="H13" i="3"/>
  <c r="AH20" i="3"/>
  <c r="AF21" i="3"/>
  <c r="AF26" i="3" s="1"/>
  <c r="AF82" i="3" s="1"/>
  <c r="AF94" i="3" s="1"/>
  <c r="K26" i="3"/>
  <c r="K82" i="3" s="1"/>
  <c r="AK82" i="3"/>
  <c r="AD94" i="3"/>
  <c r="I86" i="3"/>
  <c r="I87" i="3"/>
  <c r="J81" i="3"/>
  <c r="J80" i="3" s="1"/>
  <c r="AG20" i="3"/>
  <c r="Z20" i="3"/>
  <c r="S93" i="3"/>
  <c r="Q94" i="3"/>
  <c r="AI26" i="3"/>
  <c r="AI13" i="3" s="1"/>
  <c r="H26" i="3"/>
  <c r="H82" i="3" s="1"/>
  <c r="I82" i="3" s="1"/>
  <c r="I60" i="3"/>
  <c r="G44" i="3"/>
  <c r="G84" i="3" s="1"/>
  <c r="P89" i="3"/>
  <c r="P93" i="3"/>
  <c r="AN81" i="3"/>
  <c r="AN20" i="3"/>
  <c r="AE21" i="3"/>
  <c r="AE26" i="3" s="1"/>
  <c r="AE82" i="3" s="1"/>
  <c r="AE94" i="3" s="1"/>
  <c r="J34" i="3"/>
  <c r="J83" i="3" s="1"/>
  <c r="R34" i="3"/>
  <c r="R83" i="3" s="1"/>
  <c r="R95" i="3" s="1"/>
  <c r="N13" i="3"/>
  <c r="V13" i="3"/>
  <c r="AL13" i="3" s="1"/>
  <c r="AD13" i="3"/>
  <c r="R20" i="3"/>
  <c r="AG21" i="3"/>
  <c r="AG26" i="3" s="1"/>
  <c r="AG82" i="3" s="1"/>
  <c r="AG94" i="3" s="1"/>
  <c r="AG27" i="3"/>
  <c r="AG34" i="3" s="1"/>
  <c r="AG83" i="3" s="1"/>
  <c r="AG95" i="3" s="1"/>
  <c r="AG45" i="3"/>
  <c r="AG53" i="3" s="1"/>
  <c r="AG85" i="3" s="1"/>
  <c r="AG97" i="3" s="1"/>
  <c r="K53" i="3"/>
  <c r="K85" i="3" s="1"/>
  <c r="AG54" i="3"/>
  <c r="AE55" i="3"/>
  <c r="AE60" i="3" s="1"/>
  <c r="AE86" i="3" s="1"/>
  <c r="AE98" i="3" s="1"/>
  <c r="AN60" i="3"/>
  <c r="M69" i="3"/>
  <c r="M87" i="3" s="1"/>
  <c r="V99" i="3"/>
  <c r="AL87" i="3"/>
  <c r="S78" i="3"/>
  <c r="S88" i="3" s="1"/>
  <c r="S100" i="3" s="1"/>
  <c r="AM78" i="3"/>
  <c r="AC88" i="3"/>
  <c r="V81" i="3"/>
  <c r="AI97" i="3"/>
  <c r="O13" i="3"/>
  <c r="W13" i="3"/>
  <c r="M34" i="3"/>
  <c r="M83" i="3" s="1"/>
  <c r="AJ83" i="3"/>
  <c r="AC95" i="3"/>
  <c r="AM83" i="3"/>
  <c r="I45" i="3"/>
  <c r="I53" i="3" s="1"/>
  <c r="AH45" i="3"/>
  <c r="AH53" i="3" s="1"/>
  <c r="AH85" i="3" s="1"/>
  <c r="AH97" i="3" s="1"/>
  <c r="AH54" i="3"/>
  <c r="AN86" i="3"/>
  <c r="P98" i="3"/>
  <c r="AE61" i="3"/>
  <c r="AE69" i="3" s="1"/>
  <c r="AE87" i="3" s="1"/>
  <c r="AE99" i="3" s="1"/>
  <c r="AD100" i="3"/>
  <c r="AK88" i="3"/>
  <c r="AB98" i="3"/>
  <c r="K20" i="3"/>
  <c r="AH21" i="3"/>
  <c r="AH26" i="3" s="1"/>
  <c r="AH82" i="3" s="1"/>
  <c r="AH94" i="3" s="1"/>
  <c r="P13" i="3"/>
  <c r="AN13" i="3" s="1"/>
  <c r="L20" i="3"/>
  <c r="T20" i="3"/>
  <c r="AJ82" i="3"/>
  <c r="AC94" i="3"/>
  <c r="AM82" i="3"/>
  <c r="V95" i="3"/>
  <c r="AL83" i="3"/>
  <c r="AK83" i="3"/>
  <c r="AD95" i="3"/>
  <c r="AL34" i="3"/>
  <c r="AE35" i="3"/>
  <c r="AE44" i="3" s="1"/>
  <c r="AE84" i="3" s="1"/>
  <c r="AE96" i="3" s="1"/>
  <c r="M44" i="3"/>
  <c r="M84" i="3" s="1"/>
  <c r="AJ84" i="3"/>
  <c r="AC96" i="3"/>
  <c r="AM84" i="3"/>
  <c r="AC97" i="3"/>
  <c r="AJ85" i="3"/>
  <c r="AM85" i="3"/>
  <c r="Q60" i="3"/>
  <c r="Q86" i="3" s="1"/>
  <c r="Q98" i="3" s="1"/>
  <c r="R69" i="3"/>
  <c r="R87" i="3" s="1"/>
  <c r="R99" i="3" s="1"/>
  <c r="AF61" i="3"/>
  <c r="AF69" i="3" s="1"/>
  <c r="AF87" i="3" s="1"/>
  <c r="AF99" i="3" s="1"/>
  <c r="I62" i="3"/>
  <c r="I69" i="3" s="1"/>
  <c r="AL69" i="3"/>
  <c r="Z78" i="3"/>
  <c r="Z88" i="3" s="1"/>
  <c r="Z100" i="3" s="1"/>
  <c r="K78" i="3"/>
  <c r="K88" i="3" s="1"/>
  <c r="AI93" i="3"/>
  <c r="AI89" i="3"/>
  <c r="AI98" i="3"/>
  <c r="AF35" i="3"/>
  <c r="AF44" i="3" s="1"/>
  <c r="AF84" i="3" s="1"/>
  <c r="AF96" i="3" s="1"/>
  <c r="F44" i="3"/>
  <c r="F84" i="3" s="1"/>
  <c r="I84" i="3" s="1"/>
  <c r="V96" i="3"/>
  <c r="AL84" i="3"/>
  <c r="AK84" i="3"/>
  <c r="AD96" i="3"/>
  <c r="AL44" i="3"/>
  <c r="V97" i="3"/>
  <c r="AL85" i="3"/>
  <c r="AK85" i="3"/>
  <c r="AD97" i="3"/>
  <c r="AL53" i="3"/>
  <c r="AH61" i="3"/>
  <c r="AH69" i="3" s="1"/>
  <c r="AH87" i="3" s="1"/>
  <c r="AH99" i="3" s="1"/>
  <c r="I66" i="3"/>
  <c r="AM69" i="3"/>
  <c r="AH78" i="3"/>
  <c r="AH88" i="3" s="1"/>
  <c r="AH100" i="3" s="1"/>
  <c r="I74" i="3"/>
  <c r="AI99" i="3"/>
  <c r="AE36" i="3"/>
  <c r="AG56" i="3"/>
  <c r="AN69" i="3"/>
  <c r="AE78" i="3"/>
  <c r="AE88" i="3" s="1"/>
  <c r="AE100" i="3" s="1"/>
  <c r="M78" i="3"/>
  <c r="M88" i="3" s="1"/>
  <c r="AB94" i="3"/>
  <c r="AI100" i="3"/>
  <c r="O89" i="3"/>
  <c r="O93" i="3"/>
  <c r="W89" i="3"/>
  <c r="W90" i="3" s="1"/>
  <c r="W93" i="3"/>
  <c r="AN82" i="3"/>
  <c r="P94" i="3"/>
  <c r="AN26" i="3"/>
  <c r="Q34" i="3"/>
  <c r="P96" i="3"/>
  <c r="AN84" i="3"/>
  <c r="AN44" i="3"/>
  <c r="P97" i="3"/>
  <c r="AN85" i="3"/>
  <c r="AN53" i="3"/>
  <c r="AH58" i="3"/>
  <c r="K60" i="3"/>
  <c r="K86" i="3" s="1"/>
  <c r="P99" i="3"/>
  <c r="AN87" i="3"/>
  <c r="AJ87" i="3"/>
  <c r="AC99" i="3"/>
  <c r="AM87" i="3"/>
  <c r="I88" i="3"/>
  <c r="AI94" i="3"/>
  <c r="P95" i="3"/>
  <c r="AN83" i="3"/>
  <c r="AN34" i="3"/>
  <c r="AJ8" i="3"/>
  <c r="AE45" i="3"/>
  <c r="AE53" i="3" s="1"/>
  <c r="AE85" i="3" s="1"/>
  <c r="AE97" i="3" s="1"/>
  <c r="AJ86" i="3"/>
  <c r="AC98" i="3"/>
  <c r="AM86" i="3"/>
  <c r="Y69" i="3"/>
  <c r="Y87" i="3" s="1"/>
  <c r="Y99" i="3" s="1"/>
  <c r="AK69" i="3"/>
  <c r="AK13" i="3" s="1"/>
  <c r="AD99" i="3"/>
  <c r="AK87" i="3"/>
  <c r="O80" i="3"/>
  <c r="O90" i="3" s="1"/>
  <c r="AI95" i="3"/>
  <c r="AK81" i="3"/>
  <c r="AD89" i="3"/>
  <c r="AD90" i="3" s="1"/>
  <c r="AD93" i="3"/>
  <c r="V98" i="3"/>
  <c r="AL86" i="3"/>
  <c r="AD98" i="3"/>
  <c r="AK86" i="3"/>
  <c r="AM60" i="3"/>
  <c r="AG61" i="3"/>
  <c r="AG69" i="3" s="1"/>
  <c r="AG87" i="3" s="1"/>
  <c r="AG99" i="3" s="1"/>
  <c r="L69" i="3"/>
  <c r="L87" i="3" s="1"/>
  <c r="P100" i="3"/>
  <c r="AN88" i="3"/>
  <c r="P80" i="3"/>
  <c r="AI96" i="3"/>
  <c r="I70" i="3"/>
  <c r="I78" i="3" s="1"/>
  <c r="Q78" i="3"/>
  <c r="Q88" i="3" s="1"/>
  <c r="Q100" i="3" s="1"/>
  <c r="AB80" i="3"/>
  <c r="V88" i="3"/>
  <c r="AB89" i="3"/>
  <c r="T93" i="3" l="1"/>
  <c r="T13" i="3"/>
  <c r="AM13" i="3"/>
  <c r="R80" i="3"/>
  <c r="F81" i="3"/>
  <c r="F13" i="3"/>
  <c r="Y89" i="3"/>
  <c r="Z13" i="3"/>
  <c r="Z81" i="3"/>
  <c r="AC93" i="3"/>
  <c r="AJ81" i="3"/>
  <c r="AC89" i="3"/>
  <c r="AC80" i="3"/>
  <c r="AM81" i="3"/>
  <c r="I13" i="3"/>
  <c r="L81" i="3"/>
  <c r="L80" i="3" s="1"/>
  <c r="L13" i="3"/>
  <c r="P90" i="3"/>
  <c r="AN80" i="3"/>
  <c r="AG81" i="3"/>
  <c r="AG13" i="3"/>
  <c r="M13" i="3"/>
  <c r="X13" i="3"/>
  <c r="AE81" i="3"/>
  <c r="AE13" i="3"/>
  <c r="AH60" i="3"/>
  <c r="AH86" i="3" s="1"/>
  <c r="AH98" i="3" s="1"/>
  <c r="R93" i="3"/>
  <c r="R13" i="3"/>
  <c r="J13" i="3"/>
  <c r="M80" i="3"/>
  <c r="X89" i="3"/>
  <c r="X93" i="3"/>
  <c r="X80" i="3"/>
  <c r="X90" i="3" s="1"/>
  <c r="K81" i="3"/>
  <c r="K80" i="3" s="1"/>
  <c r="K13" i="3"/>
  <c r="AH81" i="3"/>
  <c r="AH13" i="3"/>
  <c r="V94" i="3"/>
  <c r="AL82" i="3"/>
  <c r="AK80" i="3"/>
  <c r="Q83" i="3"/>
  <c r="Q13" i="3"/>
  <c r="AL81" i="3"/>
  <c r="V89" i="3"/>
  <c r="V93" i="3"/>
  <c r="V80" i="3"/>
  <c r="G81" i="3"/>
  <c r="G80" i="3" s="1"/>
  <c r="G13" i="3"/>
  <c r="T94" i="3"/>
  <c r="T89" i="3"/>
  <c r="T80" i="3"/>
  <c r="Y13" i="3"/>
  <c r="V100" i="3"/>
  <c r="AL88" i="3"/>
  <c r="AB90" i="3"/>
  <c r="AI80" i="3"/>
  <c r="AI90" i="3" s="1"/>
  <c r="AJ88" i="3"/>
  <c r="AM88" i="3"/>
  <c r="AC100" i="3"/>
  <c r="AG60" i="3"/>
  <c r="AG86" i="3" s="1"/>
  <c r="AG98" i="3" s="1"/>
  <c r="S13" i="3"/>
  <c r="H80" i="3"/>
  <c r="R89" i="3"/>
  <c r="AF81" i="3"/>
  <c r="AF13" i="3"/>
  <c r="S94" i="3"/>
  <c r="S89" i="3"/>
  <c r="S80" i="3"/>
  <c r="S90" i="3" s="1"/>
  <c r="Y80" i="3"/>
  <c r="Y90" i="3" s="1"/>
  <c r="AA93" i="3"/>
  <c r="AA89" i="3"/>
  <c r="AA80" i="3"/>
  <c r="AA90" i="3" s="1"/>
  <c r="AE89" i="3" l="1"/>
  <c r="AE93" i="3"/>
  <c r="AE80" i="3"/>
  <c r="AE90" i="3" s="1"/>
  <c r="V90" i="3"/>
  <c r="AL80" i="3"/>
  <c r="AF89" i="3"/>
  <c r="AF93" i="3"/>
  <c r="AF80" i="3"/>
  <c r="AC90" i="3"/>
  <c r="AJ80" i="3"/>
  <c r="AM80" i="3"/>
  <c r="I81" i="3"/>
  <c r="I80" i="3" s="1"/>
  <c r="F80" i="3"/>
  <c r="AH80" i="3"/>
  <c r="AH90" i="3" s="1"/>
  <c r="AH93" i="3"/>
  <c r="AH89" i="3"/>
  <c r="AG89" i="3"/>
  <c r="AG80" i="3"/>
  <c r="AG90" i="3" s="1"/>
  <c r="AG93" i="3"/>
  <c r="R90" i="3"/>
  <c r="T90" i="3"/>
  <c r="Q95" i="3"/>
  <c r="Q89" i="3"/>
  <c r="Q80" i="3"/>
  <c r="Z80" i="3"/>
  <c r="Z93" i="3"/>
  <c r="Z89" i="3"/>
  <c r="Q90" i="3" l="1"/>
  <c r="AF90" i="3"/>
  <c r="Z9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ismail - [2010]</author>
  </authors>
  <commentList>
    <comment ref="C16" authorId="0" shapeId="0" xr:uid="{EEC80930-89F8-2642-9F66-EDC67EF27EF7}">
      <text>
        <r>
          <rPr>
            <b/>
            <sz val="9"/>
            <color indexed="81"/>
            <rFont val="Tahoma"/>
            <family val="2"/>
          </rPr>
          <t>TDV mới từ T5</t>
        </r>
        <r>
          <rPr>
            <sz val="9"/>
            <color indexed="81"/>
            <rFont val="Tahoma"/>
            <family val="2"/>
          </rPr>
          <t xml:space="preserve">
</t>
        </r>
      </text>
    </comment>
    <comment ref="G16" authorId="0" shapeId="0" xr:uid="{2F926275-D344-5F44-936E-3DE27964CBE5}">
      <text>
        <r>
          <rPr>
            <b/>
            <sz val="9"/>
            <color indexed="81"/>
            <rFont val="Tahoma"/>
            <family val="2"/>
          </rPr>
          <t>DS của TDV cũ</t>
        </r>
        <r>
          <rPr>
            <sz val="9"/>
            <color indexed="81"/>
            <rFont val="Tahoma"/>
            <family val="2"/>
          </rPr>
          <t xml:space="preserve">
</t>
        </r>
      </text>
    </comment>
    <comment ref="C23" authorId="0" shapeId="0" xr:uid="{D56A1432-C036-364F-9EED-AA1BA232D195}">
      <text>
        <r>
          <rPr>
            <b/>
            <sz val="9"/>
            <color indexed="81"/>
            <rFont val="Tahoma"/>
            <family val="2"/>
          </rPr>
          <t xml:space="preserve">TDV mới từ tháng </t>
        </r>
        <r>
          <rPr>
            <sz val="9"/>
            <color indexed="81"/>
            <rFont val="Tahoma"/>
            <family val="2"/>
          </rPr>
          <t xml:space="preserve">
</t>
        </r>
      </text>
    </comment>
    <comment ref="G23" authorId="0" shapeId="0" xr:uid="{E7466D8C-09AF-3044-9E94-6A8D873CD667}">
      <text>
        <r>
          <rPr>
            <b/>
            <sz val="9"/>
            <color indexed="81"/>
            <rFont val="Tahoma"/>
            <family val="2"/>
          </rPr>
          <t>DS của TDV cũ</t>
        </r>
        <r>
          <rPr>
            <sz val="9"/>
            <color indexed="81"/>
            <rFont val="Tahoma"/>
            <family val="2"/>
          </rPr>
          <t xml:space="preserve">
</t>
        </r>
      </text>
    </comment>
  </commentList>
</comments>
</file>

<file path=xl/sharedStrings.xml><?xml version="1.0" encoding="utf-8"?>
<sst xmlns="http://schemas.openxmlformats.org/spreadsheetml/2006/main" count="368" uniqueCount="247">
  <si>
    <t>Tháng 3</t>
  </si>
  <si>
    <t>Tháng 4</t>
  </si>
  <si>
    <t>Tháng 5</t>
  </si>
  <si>
    <t>Nguyễn Thị Nguyên</t>
  </si>
  <si>
    <t>CÔNG TY CỔ PHẦN DƯỢC PHẨM ABIPHA</t>
  </si>
  <si>
    <t>Địa chỉ: Số 5 liền kề 15, khu đô thị Văn phú, P. Phú La, Q. Hà Đông, Hà nội</t>
  </si>
  <si>
    <t>BẢNG KHOÁN DOANH SỐ QUÝ 3/2025 - ABIPHA MIỀN BẮC</t>
  </si>
  <si>
    <t>Chỉ tiêu</t>
  </si>
  <si>
    <t>Tháng 7/2025</t>
  </si>
  <si>
    <t>Tháng 8/2025</t>
  </si>
  <si>
    <t>Tháng 9/2025</t>
  </si>
  <si>
    <t>Tổng quý 3/2025</t>
  </si>
  <si>
    <t>Doanh số</t>
  </si>
  <si>
    <t>KPI 1 Đông dược + tân dược</t>
  </si>
  <si>
    <t>KPI 2 hợp đồng mở mới</t>
  </si>
  <si>
    <t>Nhóm thuốc tân dược</t>
  </si>
  <si>
    <t>Nhóm thuốc đông dược</t>
  </si>
  <si>
    <t>Nhóm TPCN 1</t>
  </si>
  <si>
    <t>Nhóm TPCN 2</t>
  </si>
  <si>
    <t>Tổng</t>
  </si>
  <si>
    <t xml:space="preserve">Tổng khoán GĐKD OTC </t>
  </si>
  <si>
    <t>Stt</t>
  </si>
  <si>
    <t>Mã</t>
  </si>
  <si>
    <t>Tên nhân sự</t>
  </si>
  <si>
    <t>Khu vực</t>
  </si>
  <si>
    <t>Địa bàn</t>
  </si>
  <si>
    <t>Doanh số đạt từ tháng 3-5/2025</t>
  </si>
  <si>
    <t>TB đạt/tháng</t>
  </si>
  <si>
    <t>PHẠM CẢNH TÙNG</t>
  </si>
  <si>
    <t>MIỀN BẮC</t>
  </si>
  <si>
    <t>1TDVHN008</t>
  </si>
  <si>
    <t>Phùng Văn Hải</t>
  </si>
  <si>
    <t xml:space="preserve"> Đông Anh, Mê Linh, Sóc Sơn.</t>
  </si>
  <si>
    <t>Hà nội</t>
  </si>
  <si>
    <t>1TDVHN102</t>
  </si>
  <si>
    <t>Lê Công Thắng</t>
  </si>
  <si>
    <t>Ba Vì, Sơn tây,Phúc Thọ</t>
  </si>
  <si>
    <t>1TDVHN101</t>
  </si>
  <si>
    <t>TDV Bắc</t>
  </si>
  <si>
    <t xml:space="preserve"> Quốc Oai, Thạch Thất</t>
  </si>
  <si>
    <t>1TDVHN084</t>
  </si>
  <si>
    <t>Nguyễn thị Loan</t>
  </si>
  <si>
    <t>Mỹ Đức, Ứng hòa, Thanh Oai</t>
  </si>
  <si>
    <t>TDV02</t>
  </si>
  <si>
    <t>Nguyễn Thị Minh Hương</t>
  </si>
  <si>
    <t xml:space="preserve"> Thanh trì, Thường Tín, Phú xuyên </t>
  </si>
  <si>
    <t>1TDVHN100</t>
  </si>
  <si>
    <t>Nguyễn Thị Diệu Chi</t>
  </si>
  <si>
    <t xml:space="preserve"> Đống Đa, Ba Đình, Tây Hồ</t>
  </si>
  <si>
    <t>QLBH1</t>
  </si>
  <si>
    <t>TDV03</t>
  </si>
  <si>
    <t>Huỳnh Thị Yến</t>
  </si>
  <si>
    <t xml:space="preserve"> Hà Đông Thanh Xuân, Chương Mỹ</t>
  </si>
  <si>
    <t>1TDVHN005</t>
  </si>
  <si>
    <t>Hoàng Thị Thu Hà</t>
  </si>
  <si>
    <t>Hoàng Mai, Hai Bà Trưng, Hoàn Kiếm</t>
  </si>
  <si>
    <t>TDV04</t>
  </si>
  <si>
    <t>Bùi Thị Thu Hường</t>
  </si>
  <si>
    <t>Gia Lâm, Long Biên</t>
  </si>
  <si>
    <t>TDV01</t>
  </si>
  <si>
    <t>Đỗ Ngọc Minh</t>
  </si>
  <si>
    <t>Đan Phượng, Hoài Đức</t>
  </si>
  <si>
    <t>1TDVHN006</t>
  </si>
  <si>
    <t>Phan Thị Phương Hoa</t>
  </si>
  <si>
    <t xml:space="preserve"> Cầu Giấy, Nam Từ Liêm, Bắc Từ Liêm</t>
  </si>
  <si>
    <t>QLBH2</t>
  </si>
  <si>
    <t>Nguyễn Mạnh Thắng</t>
  </si>
  <si>
    <t>TDV178</t>
  </si>
  <si>
    <t>Ngô Thị Mường Khương</t>
  </si>
  <si>
    <t>Huyện Thủy Nguyên, Quận Hồng Bàng,Quận Lê Chân,Huyện An Dương,Quận Hải An, Quận Ngô Quyền</t>
  </si>
  <si>
    <t>Hải Phòng 1</t>
  </si>
  <si>
    <t>TDV174</t>
  </si>
  <si>
    <t>Đinh Ngọc Dương</t>
  </si>
  <si>
    <t>Quận Đồ Sơn, Huyện Kiến Thụy, Quận Dương Kinh, Quận Kiến An, Huyện An Lão,Huyện Vĩnh Bảo,Huyện Tiên Lãng</t>
  </si>
  <si>
    <t>Hải Phòng 2</t>
  </si>
  <si>
    <t>TDV184</t>
  </si>
  <si>
    <t>Nguyễn Khắc Mạnh</t>
  </si>
  <si>
    <t>Trong hệ thống Công ty CP dược phẩm Hải Phòng(Hiệu Thuốc Hải Phòng)</t>
  </si>
  <si>
    <t>Hải Phòng 3</t>
  </si>
  <si>
    <t>TDV139</t>
  </si>
  <si>
    <t>Nguyễn Hữu Nam</t>
  </si>
  <si>
    <t>TP Chí Linh, TX Kinh Môn, Huyện Kim Thành, Huyện Thanh Hà,Huyện Nam Sách, 
1/2 TP Hải Dương(Phường ái quốc, phường nam đồng, phường ngọc châu, phường phạm ngũ lão,phường quang trung,phường trần hưng đạo,phường trần phú, phường tân hưng,phường nguyễn trãi)</t>
  </si>
  <si>
    <t>Hải Dương 1</t>
  </si>
  <si>
    <t>TDV05</t>
  </si>
  <si>
    <t>TDV Dân</t>
  </si>
  <si>
    <t>Huyện Ninh Giang, Huyện Tứ Kỳ, Huyện Bình Giang, Huyện Cẩm giàng,Huyện Thanh Miện,Huyện Gia Lộc,
1/2 TP Hải Dương(phường việt hòa,phường thanh bình,phường tứ minh, xã thạch khôi, việt hà, cẩm thượng,hải tân, p.tân bình,lê thanh nghị)</t>
  </si>
  <si>
    <t>Hải Dương 2</t>
  </si>
  <si>
    <t>TDV168</t>
  </si>
  <si>
    <t>Đinh Quang Phúc</t>
  </si>
  <si>
    <t>TP Hạ Long, TP Cẩm Phả, TX Cửa Ông, H Vân Đồn</t>
  </si>
  <si>
    <t>Quảng Ninh 1</t>
  </si>
  <si>
    <t>TDV06</t>
  </si>
  <si>
    <t>Nguyễn Văn Xuân</t>
  </si>
  <si>
    <t>TP Móng Cái, H Hải Hà, H Đầm Hà, H Tiên Yên, H Bình Liêu, H Ba Chẽ</t>
  </si>
  <si>
    <t>Quảng Ninh 2</t>
  </si>
  <si>
    <t>QLBH3</t>
  </si>
  <si>
    <t>Lê Văn Thành</t>
  </si>
  <si>
    <t>TDV188</t>
  </si>
  <si>
    <t>Tuyển TDV mới</t>
  </si>
  <si>
    <t xml:space="preserve"> Sông công, Phổ yên,phú bình,võ nhai,1/2Thành phố(P. tích lương, p.trung thành, p.trưng vương, p.túc duyên, x.cao ngạn, x.đồng liên, x.hống thượng, p.cam giá, p.chùa hang, p.đồng bẩm, p.đồng quang, p.gia sàng, p.hoàng văn thụ, p.hương sơn, p.phan đình phùng, p.phú xá, p.tân thành)</t>
  </si>
  <si>
    <t>Thái Nguyên 1</t>
  </si>
  <si>
    <t>TDV07</t>
  </si>
  <si>
    <t>Phạm Đình Thăng</t>
  </si>
  <si>
    <t>Đại từ, phú lương, định hóa, đồng hỉ, 1/2 thành phố(p.thịnh đán, x.cao ngạn, x.linh sơn, x.phúc hà, x.phúc trìu, x.phúc xuân, x.quyết thắng, x.sơn cẩm, p.quang trung, p.quang vinh, p.quán triều, p.tân long, p.tân lập, p.tân thịnh)</t>
  </si>
  <si>
    <t>Thái Nguyên 2</t>
  </si>
  <si>
    <t>TDV033</t>
  </si>
  <si>
    <t>Quách Đăng Khiêm</t>
  </si>
  <si>
    <t>Lạng Giang, Tân Yên, Việt Yên, Việt hòa, Thành phố</t>
  </si>
  <si>
    <t>Bắc Giang 1</t>
  </si>
  <si>
    <t>TDV08</t>
  </si>
  <si>
    <t>Trần Thị Anh Thương</t>
  </si>
  <si>
    <t>Lục Nam, Lục Ngạn, Yên Dũng, Sơn Động, Thành phố</t>
  </si>
  <si>
    <t>Bắc Giang 2</t>
  </si>
  <si>
    <t>TDV09</t>
  </si>
  <si>
    <t>Phạm Thị Cúc</t>
  </si>
  <si>
    <t>Toàn tỉnh</t>
  </si>
  <si>
    <t>Lạng Sơn</t>
  </si>
  <si>
    <t>TDV121</t>
  </si>
  <si>
    <t>Lý quốc thắng</t>
  </si>
  <si>
    <t>Cao bằng</t>
  </si>
  <si>
    <t>TDV10</t>
  </si>
  <si>
    <t>Bắc Cạn</t>
  </si>
  <si>
    <t>TDV042</t>
  </si>
  <si>
    <t>Nguyễn Văn Thành</t>
  </si>
  <si>
    <t>Bắc Ninh</t>
  </si>
  <si>
    <t>TDV043</t>
  </si>
  <si>
    <t>Nguyễn Hữu Dũng</t>
  </si>
  <si>
    <t>QLBH4</t>
  </si>
  <si>
    <t>Nguyễn Trần Cổn</t>
  </si>
  <si>
    <t>TDV189</t>
  </si>
  <si>
    <t>Nguyễn Duy Thành</t>
  </si>
  <si>
    <t>Sơn La</t>
  </si>
  <si>
    <t>TDV172</t>
  </si>
  <si>
    <t>Lai châu</t>
  </si>
  <si>
    <t>TDV11</t>
  </si>
  <si>
    <t>Điện Biên</t>
  </si>
  <si>
    <t>TDV12</t>
  </si>
  <si>
    <t>H.Văn Lâm,H. Văn Giang,H. Yên Mỹ,H. Mỹ Hào</t>
  </si>
  <si>
    <t>Hưng Yên 1</t>
  </si>
  <si>
    <t>TDV169</t>
  </si>
  <si>
    <t>Nguyễn Quang Huy</t>
  </si>
  <si>
    <t>H.Tiên Lữ,H. Ân Thi,H. Phù Cừ,H. Kim Động, Thành Phố Hưng Yên,H. Khoái Châu</t>
  </si>
  <si>
    <t>Hưng Yên 2</t>
  </si>
  <si>
    <t>TDV001</t>
  </si>
  <si>
    <t>Cao xuấn Tuấn</t>
  </si>
  <si>
    <t>Toàn Tỉnh</t>
  </si>
  <si>
    <t>Hà nam</t>
  </si>
  <si>
    <t>TDV014</t>
  </si>
  <si>
    <t>Bùi Văn Hưng</t>
  </si>
  <si>
    <t>Lạc Sơn, Yên Thủy, Tân Lạc, Lạc Thủy</t>
  </si>
  <si>
    <t>Hòa Bình 1</t>
  </si>
  <si>
    <t>TDV13</t>
  </si>
  <si>
    <t>Nguyễn Thùy Dương</t>
  </si>
  <si>
    <t xml:space="preserve"> </t>
  </si>
  <si>
    <t>Hòa Bình 2</t>
  </si>
  <si>
    <t>QLBH5</t>
  </si>
  <si>
    <t>TDV14</t>
  </si>
  <si>
    <t>H. Nam Trực,H. Nghĩa Hưng,H. Hải Hậu,H. Xuân Trường,H. Giao Thuỷ</t>
  </si>
  <si>
    <t>Nam định 1</t>
  </si>
  <si>
    <t>TDV15</t>
  </si>
  <si>
    <t>Nguyễn Văn Vinh</t>
  </si>
  <si>
    <t>Thành phố, Vụ Bản, Mỹ Lộc, Trực Ninh</t>
  </si>
  <si>
    <t>Nam định 2</t>
  </si>
  <si>
    <t>TDV125</t>
  </si>
  <si>
    <t>Vũ Trọng Khá</t>
  </si>
  <si>
    <t>Thành phố Tam Điệp, Huyện Vĩnh Lộc,H. Nga Sơn,H. Thạch Thành
Thị xã: Bỉm sơn</t>
  </si>
  <si>
    <t>Ninh Bình 1</t>
  </si>
  <si>
    <t>TDV190</t>
  </si>
  <si>
    <t>Thành phố Ninh Bình,Huyện Hoa Lư,H. Gia Viễn,H. Nho Quan,H. Yên Mô, H Yên Khánh, H. Kim Sơn</t>
  </si>
  <si>
    <t>Ninh Bình 2 - Tam điệp + Thanh hóa</t>
  </si>
  <si>
    <t>TDV185</t>
  </si>
  <si>
    <t>Hà Thị Huệ</t>
  </si>
  <si>
    <t>TP Thái BìnhH. Thái Thuỵ,H. Kiến Xương, H. Tiền Hải</t>
  </si>
  <si>
    <t>Thái Bình 1</t>
  </si>
  <si>
    <t>TDV16</t>
  </si>
  <si>
    <t>Nguyễn Hữu Qúy</t>
  </si>
  <si>
    <t>H Quỳnh Phụ,H. Vũ Thư,H. Hưng Hà,, H. Đông Hưng</t>
  </si>
  <si>
    <t>Thái Bình 2</t>
  </si>
  <si>
    <t>QLBH6</t>
  </si>
  <si>
    <t>Trần Khánh Dư</t>
  </si>
  <si>
    <t>TDV073</t>
  </si>
  <si>
    <t>Dương Khắc Anh</t>
  </si>
  <si>
    <t>Huyện Đông Sơn,H.Triệu Sơn,H. Ngọc Lặc,H. Thọ Xuân ,H. lang Chánh</t>
  </si>
  <si>
    <t>Thanh Hoá 1</t>
  </si>
  <si>
    <t>TDV151</t>
  </si>
  <si>
    <t>Nguyễn Thanh Tùng</t>
  </si>
  <si>
    <t>Huyện Hoằng Hoá ,H. Hậu Lộc,H. Hà trung</t>
  </si>
  <si>
    <t>Thanh Hoá 2</t>
  </si>
  <si>
    <t>TDV126</t>
  </si>
  <si>
    <t>Nguyễn Văn Chung</t>
  </si>
  <si>
    <t>Huyện Thiệu Hoá ,H. Yên Định,H. Cẩm Thuỷ,H. Bá Thước, Thành phố: Thanh Hoá, Sầm Sơn</t>
  </si>
  <si>
    <t>Thanh Hoá 3</t>
  </si>
  <si>
    <t>TDV186</t>
  </si>
  <si>
    <t>Trần Hữu Dương</t>
  </si>
  <si>
    <t>Huyện Quảng xương,H. Nông Cống,H. Như Thanh,H. Như Xuân,H. Tĩnh Gia</t>
  </si>
  <si>
    <t>Thanh Hoá 4</t>
  </si>
  <si>
    <t>TDV012</t>
  </si>
  <si>
    <t>Trần Thị Ngần 1</t>
  </si>
  <si>
    <t>Cả Tỉnh</t>
  </si>
  <si>
    <t>Nghệ An 1</t>
  </si>
  <si>
    <t>TDV013</t>
  </si>
  <si>
    <t>Trần Thị Ngần 2</t>
  </si>
  <si>
    <t>Nghệ An 2</t>
  </si>
  <si>
    <t>TDV068</t>
  </si>
  <si>
    <t>Nguyễn Thị Mai Trang</t>
  </si>
  <si>
    <t>Toàn tỉnh phân nhóm hàng</t>
  </si>
  <si>
    <t>Hà Tĩnh 1</t>
  </si>
  <si>
    <t>TDV069</t>
  </si>
  <si>
    <t>TDV Mới</t>
  </si>
  <si>
    <t>Hà Tĩnh 2</t>
  </si>
  <si>
    <t>QLBH7</t>
  </si>
  <si>
    <t>Nguyễn Quang Quyết</t>
  </si>
  <si>
    <t>TDV170</t>
  </si>
  <si>
    <t>Nguyễn Thị Thạch</t>
  </si>
  <si>
    <t>TP.Phúc Yên ,Huyện Bình Xuyên ,Huyện Tam Đảo ,Huyện Tam Dương ,TP. Vĩnh Yên (Phường " Định Trung , Khai Quang , Liên Bảo ,đồng Đa " )</t>
  </si>
  <si>
    <t>Vĩnh Phúc 1</t>
  </si>
  <si>
    <t>TDV176</t>
  </si>
  <si>
    <t>Trần Thị Hường</t>
  </si>
  <si>
    <t>Huyện Lập Thạch ,Huyện Sông Lô ,Huyện Vĩnh Tường ,Huyện Yên Lạc ,TP Vĩnh Yên (Phường " Tích Sơn , Hội Hợp , Đồng Tâm , Nô Quyền , Thanh Trù ")</t>
  </si>
  <si>
    <t>Vĩnh Phúc 2</t>
  </si>
  <si>
    <t>TDV183</t>
  </si>
  <si>
    <t>Đặng Việt Anh</t>
  </si>
  <si>
    <t>TP.Việt Trì ,Huyện Phù Ninh , Huyện Lâm Thao ,HuyệnTam Nông ,Huyện Thanh Thuỷ ,Huyện Thanh Sơn</t>
  </si>
  <si>
    <t>Phú Thọ 1</t>
  </si>
  <si>
    <t>TDV17</t>
  </si>
  <si>
    <t>Nguyễn Linh Chi</t>
  </si>
  <si>
    <t>Thị Xã Phú Thọ ,Huyện Đoan Hùng ,Huyện Thanh Ba ,Huyện Hạ Hoà ,Huyện Cẩm Khê ,Huyện Yên Lập ,Huyện Tân Sơn</t>
  </si>
  <si>
    <t>Phú Thọ 2</t>
  </si>
  <si>
    <t>TDV040</t>
  </si>
  <si>
    <t>Ngô Quang Tùng</t>
  </si>
  <si>
    <t>Yên Bái</t>
  </si>
  <si>
    <t>TDV129</t>
  </si>
  <si>
    <t>Hoàng Thị Phương</t>
  </si>
  <si>
    <t>Hà Giang</t>
  </si>
  <si>
    <t>TDV180</t>
  </si>
  <si>
    <t>Trần Như Chính</t>
  </si>
  <si>
    <t>Tuyên Quang</t>
  </si>
  <si>
    <t>TDV18</t>
  </si>
  <si>
    <t>Nguyễn Hữu Thức</t>
  </si>
  <si>
    <t xml:space="preserve">Lào Cai </t>
  </si>
  <si>
    <t>QLBH8</t>
  </si>
  <si>
    <t>Nguyễn Anh Tuấn</t>
  </si>
  <si>
    <t>Trống QLBH</t>
  </si>
  <si>
    <t>Tổng Quản lý</t>
  </si>
  <si>
    <t>Chênh lệch số khoán của QLM-QLBH</t>
  </si>
  <si>
    <t>Chênh lệch giữa số khoán phân bổ cho Quản lý - số khoán TDV (dương là khoán cho quản lý đang ko phân bổ được hết cho TDV)</t>
  </si>
  <si>
    <t>âm là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</si>
</sst>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 _₫_-;\-* #,##0.00\ _₫_-;_-* &quot;-&quot;??\ _₫_-;_-@_-"/>
    <numFmt numFmtId="165" formatCode="_-* #,##0\ _₫_-;\-* #,##0\ _₫_-;_-* &quot;-&quot;??\ _₫_-;_-@_-"/>
    <numFmt numFmtId="166" formatCode="_(* #,##0_);_(* \(#,##0\);_(* &quot;-&quot;??_);_(@_)"/>
    <numFmt numFmtId="167" formatCode="0.0%"/>
  </numFmts>
  <fonts count="19" x14ac:knownFonts="1">
    <font>
      <sz val="11"/>
      <color theme="1"/>
      <name val="Calibri"/>
      <family val="2"/>
      <scheme val="minor"/>
    </font>
    <font>
      <sz val="11"/>
      <color theme="1"/>
      <name val="Calibri"/>
      <family val="2"/>
      <scheme val="minor"/>
    </font>
    <font>
      <sz val="11"/>
      <color theme="1"/>
      <name val="Calibri"/>
      <family val="2"/>
      <charset val="163"/>
      <scheme val="minor"/>
    </font>
    <font>
      <b/>
      <sz val="10"/>
      <name val="Times New Roman"/>
      <family val="1"/>
    </font>
    <font>
      <sz val="10"/>
      <name val="Times New Roman"/>
      <family val="1"/>
    </font>
    <font>
      <b/>
      <sz val="11"/>
      <name val="Times New Roman"/>
      <family val="1"/>
    </font>
    <font>
      <b/>
      <sz val="14"/>
      <name val="Times New Roman"/>
      <family val="1"/>
    </font>
    <font>
      <b/>
      <sz val="12"/>
      <color theme="1"/>
      <name val="Times New Roman"/>
      <family val="1"/>
    </font>
    <font>
      <b/>
      <sz val="10"/>
      <color rgb="FFFF0000"/>
      <name val="Times New Roman"/>
      <family val="1"/>
    </font>
    <font>
      <b/>
      <sz val="10"/>
      <color theme="1"/>
      <name val="Times New Roman"/>
      <family val="1"/>
    </font>
    <font>
      <b/>
      <sz val="10"/>
      <color theme="0"/>
      <name val="Times New Roman"/>
      <family val="1"/>
    </font>
    <font>
      <sz val="10"/>
      <color theme="0"/>
      <name val="Times New Roman"/>
      <family val="1"/>
    </font>
    <font>
      <b/>
      <sz val="12"/>
      <name val="Times New Roman"/>
      <family val="1"/>
    </font>
    <font>
      <sz val="12"/>
      <name val="Times New Roman"/>
      <family val="1"/>
    </font>
    <font>
      <b/>
      <sz val="12"/>
      <color rgb="FFFF0000"/>
      <name val="Times New Roman"/>
      <family val="1"/>
    </font>
    <font>
      <sz val="10"/>
      <color rgb="FFFF0000"/>
      <name val="Times New Roman"/>
      <family val="1"/>
    </font>
    <font>
      <sz val="12"/>
      <color rgb="FFFF0000"/>
      <name val="Times New Roman"/>
      <family val="1"/>
    </font>
    <font>
      <b/>
      <sz val="9"/>
      <color indexed="81"/>
      <name val="Tahoma"/>
      <family val="2"/>
    </font>
    <font>
      <sz val="9"/>
      <color indexed="81"/>
      <name val="Tahoma"/>
      <family val="2"/>
    </font>
  </fonts>
  <fills count="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cellStyleXfs>
  <cellXfs count="105">
    <xf numFmtId="0" fontId="0" fillId="0" borderId="0" xfId="0"/>
    <xf numFmtId="0" fontId="3" fillId="0" borderId="0" xfId="1" applyFont="1"/>
    <xf numFmtId="0" fontId="4" fillId="0" borderId="0" xfId="1" applyFont="1"/>
    <xf numFmtId="0" fontId="5" fillId="0" borderId="0" xfId="1" applyFont="1" applyAlignment="1">
      <alignment vertical="center"/>
    </xf>
    <xf numFmtId="165" fontId="4" fillId="0" borderId="0" xfId="2" applyNumberFormat="1" applyFont="1" applyFill="1"/>
    <xf numFmtId="0" fontId="4" fillId="2" borderId="0" xfId="1" applyFont="1" applyFill="1"/>
    <xf numFmtId="0" fontId="6" fillId="0" borderId="0" xfId="1" applyFont="1" applyAlignment="1">
      <alignment horizontal="center"/>
    </xf>
    <xf numFmtId="0" fontId="3" fillId="2" borderId="0" xfId="1" applyFont="1" applyFill="1"/>
    <xf numFmtId="0" fontId="3" fillId="3" borderId="0" xfId="1" applyFont="1" applyFill="1"/>
    <xf numFmtId="165" fontId="3" fillId="3" borderId="1" xfId="2" applyNumberFormat="1" applyFont="1" applyFill="1" applyBorder="1" applyAlignment="1">
      <alignment horizontal="center" vertical="center" wrapText="1"/>
    </xf>
    <xf numFmtId="165" fontId="3" fillId="2"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165" fontId="4" fillId="0" borderId="1" xfId="2" applyNumberFormat="1" applyFont="1" applyFill="1" applyBorder="1"/>
    <xf numFmtId="165" fontId="3" fillId="2" borderId="0" xfId="1" applyNumberFormat="1" applyFont="1" applyFill="1"/>
    <xf numFmtId="0" fontId="10" fillId="0" borderId="0" xfId="1" applyFont="1"/>
    <xf numFmtId="0" fontId="11" fillId="0" borderId="0" xfId="1" applyFont="1"/>
    <xf numFmtId="9" fontId="11" fillId="0" borderId="0" xfId="3" applyFont="1" applyBorder="1"/>
    <xf numFmtId="0" fontId="11" fillId="2" borderId="0" xfId="1" applyFont="1" applyFill="1"/>
    <xf numFmtId="166" fontId="3" fillId="4" borderId="1" xfId="1" applyNumberFormat="1" applyFont="1" applyFill="1" applyBorder="1" applyAlignment="1">
      <alignment vertical="center"/>
    </xf>
    <xf numFmtId="166" fontId="3" fillId="4" borderId="1" xfId="1" applyNumberFormat="1" applyFont="1" applyFill="1" applyBorder="1" applyAlignment="1">
      <alignment horizontal="center" vertical="center"/>
    </xf>
    <xf numFmtId="0" fontId="3" fillId="4" borderId="1" xfId="1" applyFont="1" applyFill="1" applyBorder="1" applyAlignment="1">
      <alignment horizontal="left" vertical="center"/>
    </xf>
    <xf numFmtId="165" fontId="3" fillId="4" borderId="1" xfId="2" applyNumberFormat="1" applyFont="1" applyFill="1" applyBorder="1" applyAlignment="1">
      <alignment horizontal="center" vertical="center" wrapText="1"/>
    </xf>
    <xf numFmtId="165" fontId="9" fillId="4" borderId="1" xfId="4" applyNumberFormat="1" applyFont="1" applyFill="1" applyBorder="1" applyAlignment="1">
      <alignment horizontal="center" vertical="center" wrapText="1"/>
    </xf>
    <xf numFmtId="0" fontId="3" fillId="4" borderId="0" xfId="1" applyFont="1" applyFill="1"/>
    <xf numFmtId="166" fontId="3" fillId="0" borderId="1" xfId="5" applyNumberFormat="1" applyFont="1" applyFill="1" applyBorder="1" applyAlignment="1">
      <alignment vertical="center" wrapText="1"/>
    </xf>
    <xf numFmtId="0" fontId="4" fillId="0" borderId="1" xfId="1" applyFont="1" applyBorder="1" applyAlignment="1">
      <alignment vertical="center"/>
    </xf>
    <xf numFmtId="165" fontId="4" fillId="0" borderId="1" xfId="2" applyNumberFormat="1" applyFont="1" applyBorder="1" applyAlignment="1">
      <alignment horizontal="left" vertical="center"/>
    </xf>
    <xf numFmtId="165" fontId="4" fillId="0" borderId="1" xfId="1" applyNumberFormat="1" applyFont="1" applyBorder="1" applyAlignment="1">
      <alignment vertical="center"/>
    </xf>
    <xf numFmtId="165" fontId="4" fillId="2" borderId="1" xfId="4" applyNumberFormat="1" applyFont="1" applyFill="1" applyBorder="1" applyAlignment="1">
      <alignment vertical="center"/>
    </xf>
    <xf numFmtId="166" fontId="12" fillId="2" borderId="1" xfId="2" applyNumberFormat="1" applyFont="1" applyFill="1" applyBorder="1" applyAlignment="1">
      <alignment horizontal="center" vertical="center" wrapText="1"/>
    </xf>
    <xf numFmtId="166" fontId="13" fillId="2" borderId="1" xfId="2" applyNumberFormat="1" applyFont="1" applyFill="1" applyBorder="1" applyAlignment="1">
      <alignment horizontal="center" vertical="center" wrapText="1"/>
    </xf>
    <xf numFmtId="165" fontId="9" fillId="2" borderId="1" xfId="4" applyNumberFormat="1" applyFont="1" applyFill="1" applyBorder="1" applyAlignment="1">
      <alignment horizontal="center" vertical="center" wrapText="1"/>
    </xf>
    <xf numFmtId="165" fontId="4" fillId="2" borderId="1" xfId="2" applyNumberFormat="1" applyFont="1" applyFill="1" applyBorder="1"/>
    <xf numFmtId="165" fontId="4" fillId="3" borderId="1" xfId="2" applyNumberFormat="1" applyFont="1" applyFill="1" applyBorder="1" applyAlignment="1">
      <alignment horizontal="left" vertical="center"/>
    </xf>
    <xf numFmtId="0" fontId="3" fillId="4" borderId="1" xfId="1" applyFont="1" applyFill="1" applyBorder="1"/>
    <xf numFmtId="0" fontId="3" fillId="4" borderId="1" xfId="1" applyFont="1" applyFill="1" applyBorder="1" applyAlignment="1">
      <alignment vertical="center"/>
    </xf>
    <xf numFmtId="165" fontId="3" fillId="4" borderId="1" xfId="2" applyNumberFormat="1" applyFont="1" applyFill="1" applyBorder="1"/>
    <xf numFmtId="165" fontId="3" fillId="4" borderId="1" xfId="4" applyNumberFormat="1" applyFont="1" applyFill="1" applyBorder="1" applyAlignment="1">
      <alignment vertical="center"/>
    </xf>
    <xf numFmtId="166" fontId="14" fillId="2" borderId="1" xfId="2" applyNumberFormat="1" applyFont="1" applyFill="1" applyBorder="1" applyAlignment="1">
      <alignment horizontal="center" vertical="center" wrapText="1"/>
    </xf>
    <xf numFmtId="166" fontId="3" fillId="2" borderId="1" xfId="5" applyNumberFormat="1" applyFont="1" applyFill="1" applyBorder="1" applyAlignment="1">
      <alignment vertical="center" wrapText="1"/>
    </xf>
    <xf numFmtId="166" fontId="12" fillId="2" borderId="1" xfId="1" applyNumberFormat="1" applyFont="1" applyFill="1" applyBorder="1" applyAlignment="1">
      <alignment vertical="center"/>
    </xf>
    <xf numFmtId="0" fontId="4" fillId="0" borderId="1" xfId="1" applyFont="1" applyBorder="1" applyAlignment="1">
      <alignment horizontal="left" vertical="center"/>
    </xf>
    <xf numFmtId="165" fontId="4" fillId="0" borderId="1" xfId="4" applyNumberFormat="1" applyFont="1" applyFill="1" applyBorder="1" applyAlignment="1">
      <alignment vertical="center"/>
    </xf>
    <xf numFmtId="166" fontId="12" fillId="0" borderId="1" xfId="2" applyNumberFormat="1" applyFont="1" applyFill="1" applyBorder="1" applyAlignment="1">
      <alignment horizontal="center" vertical="center" wrapText="1"/>
    </xf>
    <xf numFmtId="166" fontId="13" fillId="0" borderId="1" xfId="2" applyNumberFormat="1" applyFont="1" applyFill="1" applyBorder="1" applyAlignment="1">
      <alignment horizontal="center" vertical="center" wrapText="1"/>
    </xf>
    <xf numFmtId="165" fontId="3" fillId="4" borderId="1" xfId="2" applyNumberFormat="1" applyFont="1" applyFill="1" applyBorder="1" applyAlignment="1">
      <alignment horizontal="left" vertical="center"/>
    </xf>
    <xf numFmtId="165" fontId="15" fillId="0" borderId="1" xfId="4" applyNumberFormat="1" applyFont="1" applyFill="1" applyBorder="1" applyAlignment="1">
      <alignment vertical="center"/>
    </xf>
    <xf numFmtId="166" fontId="14" fillId="0" borderId="1" xfId="2" applyNumberFormat="1" applyFont="1" applyFill="1" applyBorder="1" applyAlignment="1">
      <alignment horizontal="center" vertical="center" wrapText="1"/>
    </xf>
    <xf numFmtId="166" fontId="16" fillId="0" borderId="1" xfId="2" applyNumberFormat="1" applyFont="1" applyFill="1" applyBorder="1" applyAlignment="1">
      <alignment horizontal="center" vertical="center" wrapText="1"/>
    </xf>
    <xf numFmtId="166" fontId="12" fillId="5" borderId="1" xfId="1" applyNumberFormat="1" applyFont="1" applyFill="1" applyBorder="1" applyAlignment="1">
      <alignment vertical="center"/>
    </xf>
    <xf numFmtId="166" fontId="14" fillId="0" borderId="10" xfId="2" applyNumberFormat="1" applyFont="1" applyFill="1" applyBorder="1" applyAlignment="1">
      <alignment horizontal="center" vertical="center" wrapText="1"/>
    </xf>
    <xf numFmtId="166" fontId="16" fillId="0" borderId="10" xfId="2" applyNumberFormat="1" applyFont="1" applyFill="1" applyBorder="1" applyAlignment="1">
      <alignment horizontal="center" vertical="center" wrapText="1"/>
    </xf>
    <xf numFmtId="166" fontId="12" fillId="2" borderId="10" xfId="2" applyNumberFormat="1" applyFont="1" applyFill="1" applyBorder="1" applyAlignment="1">
      <alignment horizontal="center" vertical="center" wrapText="1"/>
    </xf>
    <xf numFmtId="166" fontId="13" fillId="2" borderId="10" xfId="2" applyNumberFormat="1" applyFont="1" applyFill="1" applyBorder="1" applyAlignment="1">
      <alignment horizontal="center" vertical="center" wrapText="1"/>
    </xf>
    <xf numFmtId="165" fontId="3" fillId="4" borderId="1" xfId="2" applyNumberFormat="1" applyFont="1" applyFill="1" applyBorder="1" applyAlignment="1">
      <alignment vertical="center"/>
    </xf>
    <xf numFmtId="0" fontId="3" fillId="0" borderId="1" xfId="1" applyFont="1" applyBorder="1"/>
    <xf numFmtId="0" fontId="4" fillId="0" borderId="1" xfId="1" applyFont="1" applyBorder="1"/>
    <xf numFmtId="165" fontId="15" fillId="0" borderId="1" xfId="2" applyNumberFormat="1" applyFont="1" applyFill="1" applyBorder="1"/>
    <xf numFmtId="0" fontId="8" fillId="0" borderId="1" xfId="1" applyFont="1" applyBorder="1"/>
    <xf numFmtId="0" fontId="15" fillId="0" borderId="1" xfId="1" applyFont="1" applyBorder="1"/>
    <xf numFmtId="0" fontId="8" fillId="0" borderId="1" xfId="1" applyFont="1" applyBorder="1" applyAlignment="1">
      <alignment horizontal="center"/>
    </xf>
    <xf numFmtId="165" fontId="8" fillId="0" borderId="1" xfId="2" applyNumberFormat="1" applyFont="1" applyFill="1" applyBorder="1"/>
    <xf numFmtId="167" fontId="15" fillId="0" borderId="0" xfId="3" applyNumberFormat="1" applyFont="1" applyFill="1"/>
    <xf numFmtId="0" fontId="15" fillId="2" borderId="0" xfId="1" applyFont="1" applyFill="1"/>
    <xf numFmtId="0" fontId="15" fillId="0" borderId="0" xfId="1" applyFont="1"/>
    <xf numFmtId="0" fontId="8" fillId="4" borderId="0" xfId="1" applyFont="1" applyFill="1"/>
    <xf numFmtId="0" fontId="15" fillId="4" borderId="0" xfId="1" applyFont="1" applyFill="1"/>
    <xf numFmtId="0" fontId="8" fillId="4" borderId="0" xfId="1" applyFont="1" applyFill="1" applyAlignment="1">
      <alignment horizontal="left"/>
    </xf>
    <xf numFmtId="165" fontId="15" fillId="4" borderId="0" xfId="2" applyNumberFormat="1" applyFont="1" applyFill="1" applyBorder="1"/>
    <xf numFmtId="167" fontId="15" fillId="4" borderId="0" xfId="3" applyNumberFormat="1" applyFont="1" applyFill="1"/>
    <xf numFmtId="0" fontId="8" fillId="0" borderId="0" xfId="1" applyFont="1"/>
    <xf numFmtId="165" fontId="15" fillId="0" borderId="0" xfId="2" applyNumberFormat="1" applyFont="1" applyFill="1"/>
    <xf numFmtId="0" fontId="8" fillId="6" borderId="1" xfId="1" applyFont="1" applyFill="1" applyBorder="1"/>
    <xf numFmtId="0" fontId="15" fillId="6" borderId="1" xfId="1" applyFont="1" applyFill="1" applyBorder="1"/>
    <xf numFmtId="165" fontId="15" fillId="6" borderId="1" xfId="2" applyNumberFormat="1" applyFont="1" applyFill="1" applyBorder="1"/>
    <xf numFmtId="0" fontId="15" fillId="6" borderId="0" xfId="1" applyFont="1" applyFill="1"/>
    <xf numFmtId="165" fontId="15" fillId="4" borderId="1" xfId="2" applyNumberFormat="1" applyFont="1" applyFill="1" applyBorder="1"/>
    <xf numFmtId="167" fontId="15" fillId="0" borderId="1" xfId="3" applyNumberFormat="1" applyFont="1" applyFill="1" applyBorder="1"/>
    <xf numFmtId="165" fontId="3" fillId="3" borderId="1" xfId="2" applyNumberFormat="1" applyFont="1" applyFill="1" applyBorder="1" applyAlignment="1">
      <alignment horizontal="center"/>
    </xf>
    <xf numFmtId="0" fontId="9" fillId="3" borderId="10" xfId="1" applyFont="1" applyFill="1" applyBorder="1" applyAlignment="1">
      <alignment horizontal="center" vertical="center" wrapText="1"/>
    </xf>
    <xf numFmtId="0" fontId="9" fillId="3" borderId="14" xfId="1" applyFont="1" applyFill="1" applyBorder="1" applyAlignment="1">
      <alignment horizontal="center" vertical="center" wrapText="1"/>
    </xf>
    <xf numFmtId="165" fontId="3" fillId="3" borderId="5" xfId="2" applyNumberFormat="1" applyFont="1" applyFill="1" applyBorder="1" applyAlignment="1">
      <alignment horizontal="center"/>
    </xf>
    <xf numFmtId="165" fontId="3" fillId="3" borderId="6" xfId="2" applyNumberFormat="1" applyFont="1" applyFill="1" applyBorder="1" applyAlignment="1">
      <alignment horizontal="center"/>
    </xf>
    <xf numFmtId="165" fontId="3" fillId="3" borderId="7" xfId="2" applyNumberFormat="1" applyFont="1" applyFill="1" applyBorder="1" applyAlignment="1">
      <alignment horizontal="center"/>
    </xf>
    <xf numFmtId="165" fontId="3" fillId="3" borderId="11" xfId="2" applyNumberFormat="1" applyFont="1" applyFill="1" applyBorder="1" applyAlignment="1">
      <alignment horizontal="center"/>
    </xf>
    <xf numFmtId="165" fontId="3" fillId="3" borderId="12" xfId="2" applyNumberFormat="1" applyFont="1" applyFill="1" applyBorder="1" applyAlignment="1">
      <alignment horizontal="center"/>
    </xf>
    <xf numFmtId="0" fontId="3" fillId="3" borderId="10" xfId="1" applyFont="1" applyFill="1" applyBorder="1" applyAlignment="1">
      <alignment horizontal="center" vertical="center"/>
    </xf>
    <xf numFmtId="0" fontId="3" fillId="3" borderId="14" xfId="1" applyFont="1" applyFill="1" applyBorder="1" applyAlignment="1">
      <alignment horizontal="center" vertical="center"/>
    </xf>
    <xf numFmtId="0" fontId="7" fillId="3" borderId="10" xfId="1" applyFont="1" applyFill="1" applyBorder="1" applyAlignment="1">
      <alignment horizontal="center" vertical="center" wrapText="1"/>
    </xf>
    <xf numFmtId="0" fontId="7" fillId="3" borderId="14" xfId="1" applyFont="1" applyFill="1" applyBorder="1" applyAlignment="1">
      <alignment horizontal="center" vertical="center" wrapText="1"/>
    </xf>
    <xf numFmtId="0" fontId="8" fillId="2" borderId="5" xfId="1" applyFont="1" applyFill="1" applyBorder="1" applyAlignment="1">
      <alignment horizontal="center"/>
    </xf>
    <xf numFmtId="0" fontId="8" fillId="2" borderId="6" xfId="1" applyFont="1" applyFill="1" applyBorder="1" applyAlignment="1">
      <alignment horizontal="center"/>
    </xf>
    <xf numFmtId="0" fontId="8" fillId="2" borderId="7" xfId="1" applyFont="1" applyFill="1" applyBorder="1" applyAlignment="1">
      <alignment horizontal="center"/>
    </xf>
    <xf numFmtId="0" fontId="3" fillId="3" borderId="1" xfId="1" applyFont="1" applyFill="1" applyBorder="1" applyAlignment="1">
      <alignment vertical="center"/>
    </xf>
    <xf numFmtId="0" fontId="3" fillId="3" borderId="1" xfId="1" applyFont="1" applyFill="1" applyBorder="1" applyAlignment="1">
      <alignment horizontal="center" vertical="center"/>
    </xf>
    <xf numFmtId="0" fontId="6" fillId="0" borderId="0" xfId="1" applyFont="1" applyAlignment="1">
      <alignment horizontal="center"/>
    </xf>
    <xf numFmtId="0" fontId="7" fillId="3" borderId="2" xfId="1" applyFont="1" applyFill="1" applyBorder="1" applyAlignment="1">
      <alignment horizontal="center" vertical="center"/>
    </xf>
    <xf numFmtId="0" fontId="7" fillId="3" borderId="3" xfId="1" applyFont="1" applyFill="1" applyBorder="1" applyAlignment="1">
      <alignment horizontal="center" vertical="center"/>
    </xf>
    <xf numFmtId="0" fontId="7" fillId="3" borderId="4" xfId="1" applyFont="1" applyFill="1" applyBorder="1" applyAlignment="1">
      <alignment horizontal="center" vertical="center"/>
    </xf>
    <xf numFmtId="0" fontId="7" fillId="3" borderId="8" xfId="1" applyFont="1" applyFill="1" applyBorder="1" applyAlignment="1">
      <alignment horizontal="center" vertical="center"/>
    </xf>
    <xf numFmtId="0" fontId="7" fillId="3" borderId="0" xfId="1" applyFont="1" applyFill="1" applyAlignment="1">
      <alignment horizontal="center" vertical="center"/>
    </xf>
    <xf numFmtId="0" fontId="7" fillId="3" borderId="9" xfId="1" applyFont="1" applyFill="1" applyBorder="1" applyAlignment="1">
      <alignment horizontal="center" vertical="center"/>
    </xf>
    <xf numFmtId="0" fontId="7" fillId="3" borderId="11" xfId="1" applyFont="1" applyFill="1" applyBorder="1" applyAlignment="1">
      <alignment horizontal="center" vertical="center"/>
    </xf>
    <xf numFmtId="0" fontId="7" fillId="3" borderId="12" xfId="1" applyFont="1" applyFill="1" applyBorder="1" applyAlignment="1">
      <alignment horizontal="center" vertical="center"/>
    </xf>
    <xf numFmtId="0" fontId="7" fillId="3" borderId="13" xfId="1" applyFont="1" applyFill="1" applyBorder="1" applyAlignment="1">
      <alignment horizontal="center" vertical="center"/>
    </xf>
  </cellXfs>
  <cellStyles count="6">
    <cellStyle name="Comma 10 4" xfId="5" xr:uid="{E947307A-9DE2-8649-A9AA-601868C065DE}"/>
    <cellStyle name="Comma 12" xfId="4" xr:uid="{C4A5D73A-6E37-1B44-9F12-D4CE41934397}"/>
    <cellStyle name="Comma 2" xfId="2" xr:uid="{467A0306-7025-6843-9899-03C96A977CDF}"/>
    <cellStyle name="Normal" xfId="0" builtinId="0"/>
    <cellStyle name="Normal 2" xfId="1" xr:uid="{BAB6DA63-16FD-DD44-AE6B-E5B223F36540}"/>
    <cellStyle name="Percent 2" xfId="3" xr:uid="{B53735CF-DE80-1042-9045-F2F957227D84}"/>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22412</xdr:rowOff>
    </xdr:from>
    <xdr:to>
      <xdr:col>1</xdr:col>
      <xdr:colOff>270088</xdr:colOff>
      <xdr:row>5</xdr:row>
      <xdr:rowOff>44450</xdr:rowOff>
    </xdr:to>
    <xdr:pic>
      <xdr:nvPicPr>
        <xdr:cNvPr id="2" name="Picture 1">
          <a:extLst>
            <a:ext uri="{FF2B5EF4-FFF2-40B4-BE49-F238E27FC236}">
              <a16:creationId xmlns:a16="http://schemas.microsoft.com/office/drawing/2014/main" id="{9ED882B3-E51F-924C-BD17-6CA66E564C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0"/>
          <a:ext cx="568165" cy="298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dat/Desktop/%20OCD/VNPTI/L&#224;m%20s&#7841;ch%20JE%20theo%20chu&#7849;n%20ch&#7913;c%20danh/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E/Users/khanhtv/AppData/Local/Microsoft/Windows/Temporary%20Internet%20Files/Content.Outlook/94JTHD99/CSDL%20Thuoc%20la%20Thanh%20hoa_CL_BX_S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dat/Desktop/%20OCD/VNPTI/L&#224;m%20s&#7841;ch%20JE%20theo%20chu&#7849;n%20ch&#7913;c%20danh/DUNGQUAT-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Giadinhpi/AppData/Local/Microsoft/Windows/Temporary%20Internet%20Files/Content.Outlook/3W3W98S0/Mau_du_lieu_nhan_su_Tan_Ph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E/OCD%20Consultancy%20Projects/OCD%20Projects%202010/LICOGI%2013/Bang%20tinh%20thu%20Licogi13_12.10.2010.V03%20(Gui%20OCD%2003-11-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Giadinhpi/AppData/Local/Microsoft/Windows/Temporary%20Internet%20Files/Content.Outlook/3W3W98S0/Mau%20du%20lieu%20nhan%20su_HHC%2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E/Data/04%20ONGOING%20PROJECTS/2_Compensation_TL%20Thanh%20hoa/9_He%20thong%20tinh%20luong/CSDL%20TL%20Thanh%20hoa_Aug%2012%20tinh%20minh%20ho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opbox/Dropbox/VNP/3Ps/P3/BSC%20VNPT/Giao%20KPI%20Quy%204/151022_VNP_StrategyMap_KPIs%20-%20Ban%20giao%20(%20Tong%20hop)_PRIN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Giadinhpi/AppData/Local/Microsoft/Windows/Temporary%20Internet%20Files/Content.Outlook/3W3W98S0/ho%20s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F/C/C/VICOSTONE/OCD%20PROJECT%202012/KHUNG%20NANG%20LUC/VCS-COMPENTENCIES-PERSONAL/DANH%20GIA%20NANG%20LUC%20CA%20NHAN%20DON%20VI/MUA%20HA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TRANG/ABIPHA%20GROUP/L&#431;&#416;NG/2020/MI&#7872;N%20B&#7854;C/KH&#7888;I%20CH&#7912;C%20N&#258;NG/J/WINDOWS/TEMP/IBASE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C/A/CS3408/Standard/RP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Users/ctt/Documents/Zalo%20Received%20Files/KHDS%20Abipha%20Qu&#253;%203.2025%20MT.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Users/trinh/Downloads/KHDS%20Abipha%20MB-%20Quy&#769;%203.2025%20CHI&#803;%20TRANG.xlsx" TargetMode="External"/><Relationship Id="rId1" Type="http://schemas.openxmlformats.org/officeDocument/2006/relationships/externalLinkPath" Target="/Users/trinh/Downloads/KHDS%20Abipha%20MB-%20Quy&#769;%203.2025%20CHI&#803;%20TR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fOOD"/>
      <sheetName val="FORM hc"/>
      <sheetName val="FORM pc"/>
      <sheetName val="CamPha"/>
      <sheetName val="MongCai"/>
      <sheetName val="70000000"/>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5 nam (tach)"/>
      <sheetName val="5 nam (tach) (2)"/>
      <sheetName val="KH 2003"/>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TH  goi 4-x"/>
      <sheetName val="PNT_QUOT__3"/>
      <sheetName val="COAT_WRAP_QIOT__3"/>
      <sheetName val="TH Ky Anh"/>
      <sheetName val="Sheet2 (2)"/>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t1"/>
      <sheetName val="T11"/>
      <sheetName val="phan tich DG"/>
      <sheetName val="gia vat lieu"/>
      <sheetName val="gia xe may"/>
      <sheetName val="gia nhan cong"/>
      <sheetName val="XL4Test5"/>
      <sheetName val="Bia"/>
      <sheetName val="Tm"/>
      <sheetName val="THKP"/>
      <sheetName val="DGi"/>
      <sheetName val="kl m m d"/>
      <sheetName val="kl vt tho"/>
      <sheetName val="kl dat"/>
      <sheetName val="Sheet4"/>
      <sheetName val="xin kinh phi"/>
      <sheetName val="lan trai"/>
      <sheetName val="thuoc no"/>
      <sheetName val="so thuc pham"/>
      <sheetName val="CV den trong to聮g"/>
      <sheetName val="PNT-QUOT-D150#3"/>
      <sheetName val="PNT-QUOT-H153#3"/>
      <sheetName val="PNT-QUOT-K152#3"/>
      <sheetName val="PNT-QUOT-H146#3"/>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Oð mai 279"/>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ȴ0000000"/>
      <sheetName val="mau kiem ke"/>
      <sheetName val="quyet toan HD 2000"/>
      <sheetName val="quyet toan hoa don 2001"/>
      <sheetName val="kiem ke hoa don 2001"/>
      <sheetName val="QUY III 02"/>
      <sheetName val="QUY IV 02"/>
      <sheetName val="QUYET TOAN 02"/>
      <sheetName val="Sheet15"/>
      <sheetName val="BangTH"/>
      <sheetName val="Xaylap "/>
      <sheetName val="Nhan cong"/>
      <sheetName val="Thietbi"/>
      <sheetName val="Diengiai"/>
      <sheetName val="Vanchuyen"/>
      <sheetName val="Danh mục vị trí"/>
      <sheetName val="DLNS"/>
      <sheetName val="Km27' - Km278"/>
      <sheetName val="DS H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Input"/>
      <sheetName val="Code"/>
      <sheetName val="Chuan nang luc"/>
      <sheetName val="Diem danh gia"/>
    </sheetNames>
    <sheetDataSet>
      <sheetData sheetId="0" refreshError="1"/>
      <sheetData sheetId="1" refreshError="1">
        <row r="2">
          <cell r="E2">
            <v>1</v>
          </cell>
        </row>
        <row r="3">
          <cell r="E3">
            <v>2</v>
          </cell>
        </row>
        <row r="4">
          <cell r="E4">
            <v>3</v>
          </cell>
        </row>
        <row r="5">
          <cell r="E5">
            <v>4</v>
          </cell>
        </row>
        <row r="6">
          <cell r="E6">
            <v>5</v>
          </cell>
        </row>
      </sheetData>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Sheet1"/>
      <sheetName val="Sheet3"/>
      <sheetName val="5.1TB"/>
      <sheetName val="HT1"/>
      <sheetName val="5.1"/>
      <sheetName val="HT5.1"/>
      <sheetName val="dap dat bo phai"/>
      <sheetName val="dap btrai 3-4"/>
      <sheetName val="dap bo trai tang 1-2"/>
      <sheetName val="thep cs+dtc"/>
      <sheetName val="ha luu"/>
      <sheetName val="mai kenh(bo xung)"/>
      <sheetName val="dtran 1-2"/>
      <sheetName val="be tieu nang"/>
      <sheetName val="san sau"/>
      <sheetName val="dam chan de thuoc dap tran"/>
      <sheetName val="dtran3,7"/>
      <sheetName val="KI£M K£"/>
      <sheetName val="dt 8-12"/>
      <sheetName val="M KENH(dk)"/>
      <sheetName val="t chan"/>
      <sheetName val="cp cong va thep bp tang2-7"/>
      <sheetName val="thep cxdtran"/>
      <sheetName val="dtran13-15"/>
      <sheetName val="mtran tang 8-12"/>
      <sheetName val="cgt-bai sua chua"/>
      <sheetName val="CGT nm+dbp"/>
      <sheetName val="DC GIAO THONG DC4-DC8 "/>
      <sheetName val="CGT DTRAN DC1-3 "/>
      <sheetName val="dbtrai tang v-xi "/>
      <sheetName val="dbo trai tang12-15"/>
      <sheetName val="DT KENH DAN RA TC-GCMK"/>
      <sheetName val="Giao"/>
      <sheetName val="CHIET TINH"/>
      <sheetName val="Bang gia Ca May"/>
      <sheetName val="Bang Gia VL"/>
      <sheetName val="Tong Hop KP"/>
      <sheetName val=" DON GIA"/>
      <sheetName val="CHIET TINH THEO KH.SAT"/>
      <sheetName val="Sheet2"/>
      <sheetName val="Sheet4"/>
      <sheetName val="Sheet5"/>
      <sheetName val="Sheet6"/>
      <sheetName val="Sheet7"/>
      <sheetName val="Sheet8"/>
      <sheetName val="Sheet9"/>
      <sheetName val="Sheet10"/>
      <sheetName val="Sheet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hu (OCD)"/>
      <sheetName val="Bang tinh thu (L13-3)"/>
      <sheetName val="Khung bac - PL2(13-3)"/>
      <sheetName val="Index - PL1"/>
      <sheetName val="Chuan NL"/>
      <sheetName val="Du lieu nhan su"/>
      <sheetName val="Bang cap"/>
      <sheetName val="Danh gia GTCV"/>
      <sheetName val="Quy luong"/>
      <sheetName val="Du lieu nhan su (goc)"/>
      <sheetName val="DG nang luc (goc)"/>
      <sheetName val="DG nang luc (goc) (2)"/>
      <sheetName val="Sheet1"/>
    </sheetNames>
    <sheetDataSet>
      <sheetData sheetId="0" refreshError="1"/>
      <sheetData sheetId="1" refreshError="1"/>
      <sheetData sheetId="2" refreshError="1"/>
      <sheetData sheetId="3" refreshError="1">
        <row r="6">
          <cell r="B6" t="str">
            <v>NV vệ sinh</v>
          </cell>
          <cell r="C6">
            <v>17</v>
          </cell>
          <cell r="D6" t="str">
            <v>Aa</v>
          </cell>
          <cell r="E6" t="str">
            <v>PTTH</v>
          </cell>
          <cell r="F6">
            <v>1</v>
          </cell>
          <cell r="G6">
            <v>2.9333333333333331</v>
          </cell>
          <cell r="H6" t="str">
            <v>Đại học</v>
          </cell>
          <cell r="I6" t="e">
            <v>#NAME?</v>
          </cell>
          <cell r="J6">
            <v>37633</v>
          </cell>
          <cell r="K6" t="str">
            <v>22/6/2010</v>
          </cell>
        </row>
        <row r="7">
          <cell r="B7" t="str">
            <v>NV Bảo vệ</v>
          </cell>
          <cell r="C7">
            <v>19</v>
          </cell>
          <cell r="D7" t="str">
            <v>Aa</v>
          </cell>
          <cell r="E7" t="str">
            <v>PTTH</v>
          </cell>
          <cell r="F7">
            <v>1</v>
          </cell>
          <cell r="G7">
            <v>2.9333333333333331</v>
          </cell>
          <cell r="H7" t="str">
            <v>Đại học</v>
          </cell>
          <cell r="J7">
            <v>37626</v>
          </cell>
          <cell r="K7" t="str">
            <v>22/6/2010</v>
          </cell>
        </row>
        <row r="8">
          <cell r="B8" t="str">
            <v>Lái xe</v>
          </cell>
          <cell r="C8">
            <v>22</v>
          </cell>
          <cell r="D8" t="str">
            <v>Ab</v>
          </cell>
          <cell r="E8" t="str">
            <v>PTTH</v>
          </cell>
          <cell r="F8">
            <v>1</v>
          </cell>
          <cell r="G8">
            <v>2.25</v>
          </cell>
          <cell r="H8" t="str">
            <v>Đại học</v>
          </cell>
          <cell r="J8">
            <v>32518</v>
          </cell>
          <cell r="K8" t="str">
            <v>19/7/2007</v>
          </cell>
        </row>
        <row r="9">
          <cell r="B9" t="str">
            <v>NV Hành chính tổng hợp</v>
          </cell>
          <cell r="C9">
            <v>17</v>
          </cell>
          <cell r="D9" t="str">
            <v>Ba</v>
          </cell>
          <cell r="E9" t="str">
            <v>TC</v>
          </cell>
          <cell r="F9">
            <v>2</v>
          </cell>
          <cell r="G9">
            <v>2.8666666666666667</v>
          </cell>
          <cell r="H9" t="str">
            <v>Đại học</v>
          </cell>
          <cell r="J9">
            <v>39493</v>
          </cell>
          <cell r="K9" t="str">
            <v>22/6/2010</v>
          </cell>
        </row>
        <row r="10">
          <cell r="B10" t="str">
            <v>Thủ quỹ</v>
          </cell>
          <cell r="C10">
            <v>23</v>
          </cell>
          <cell r="D10" t="str">
            <v>Ba</v>
          </cell>
          <cell r="E10" t="str">
            <v>TC</v>
          </cell>
          <cell r="F10">
            <v>2</v>
          </cell>
          <cell r="G10">
            <v>2.9444444444444446</v>
          </cell>
          <cell r="H10" t="str">
            <v>Đại học</v>
          </cell>
          <cell r="J10">
            <v>35441</v>
          </cell>
          <cell r="K10">
            <v>40488</v>
          </cell>
        </row>
        <row r="11">
          <cell r="B11" t="str">
            <v>NV Quản lý dịch vụ kỹ thuật</v>
          </cell>
          <cell r="C11">
            <v>23</v>
          </cell>
          <cell r="D11" t="str">
            <v>Ba</v>
          </cell>
          <cell r="E11" t="str">
            <v>TC</v>
          </cell>
          <cell r="F11">
            <v>2</v>
          </cell>
          <cell r="G11">
            <v>2.8666666666666667</v>
          </cell>
          <cell r="H11" t="str">
            <v>Đại học</v>
          </cell>
          <cell r="J11">
            <v>40045</v>
          </cell>
          <cell r="K11">
            <v>40045</v>
          </cell>
        </row>
        <row r="12">
          <cell r="B12" t="str">
            <v>NV Quản lý hồ sơ</v>
          </cell>
          <cell r="C12">
            <v>15</v>
          </cell>
          <cell r="D12" t="str">
            <v>Ba</v>
          </cell>
          <cell r="E12" t="str">
            <v>TC</v>
          </cell>
          <cell r="F12">
            <v>2</v>
          </cell>
          <cell r="G12">
            <v>2.875</v>
          </cell>
          <cell r="H12" t="str">
            <v>Đại học</v>
          </cell>
          <cell r="J12">
            <v>39092</v>
          </cell>
          <cell r="K12">
            <v>39092</v>
          </cell>
        </row>
        <row r="13">
          <cell r="B13" t="str">
            <v>NV Phụ trách ATLD, VSLD</v>
          </cell>
          <cell r="C13">
            <v>33</v>
          </cell>
          <cell r="D13" t="str">
            <v>Bb</v>
          </cell>
          <cell r="E13" t="str">
            <v>TC</v>
          </cell>
          <cell r="F13">
            <v>2</v>
          </cell>
          <cell r="G13">
            <v>3.1333333333333333</v>
          </cell>
          <cell r="H13" t="str">
            <v>Đại học</v>
          </cell>
          <cell r="J13">
            <v>40112</v>
          </cell>
          <cell r="K13">
            <v>40112</v>
          </cell>
        </row>
        <row r="14">
          <cell r="B14" t="str">
            <v>NV Kinh doanh</v>
          </cell>
          <cell r="C14">
            <v>27</v>
          </cell>
          <cell r="D14" t="str">
            <v>Bb</v>
          </cell>
          <cell r="E14" t="str">
            <v>TC</v>
          </cell>
          <cell r="F14">
            <v>2</v>
          </cell>
          <cell r="G14">
            <v>3.375</v>
          </cell>
          <cell r="H14" t="str">
            <v>Đại học</v>
          </cell>
          <cell r="J14">
            <v>40188</v>
          </cell>
          <cell r="K14">
            <v>40188</v>
          </cell>
        </row>
        <row r="15">
          <cell r="B15" t="str">
            <v>Kế toán BQL nhà</v>
          </cell>
          <cell r="C15">
            <v>28</v>
          </cell>
          <cell r="D15" t="str">
            <v>Bb</v>
          </cell>
          <cell r="E15" t="str">
            <v>TC</v>
          </cell>
          <cell r="F15">
            <v>2</v>
          </cell>
          <cell r="G15">
            <v>2.5714285714285716</v>
          </cell>
          <cell r="H15" t="str">
            <v>Đại học</v>
          </cell>
          <cell r="J15">
            <v>37988</v>
          </cell>
          <cell r="K15" t="str">
            <v>22/6/2010</v>
          </cell>
        </row>
        <row r="16">
          <cell r="B16" t="str">
            <v>NV Văn thư</v>
          </cell>
          <cell r="C16">
            <v>26</v>
          </cell>
          <cell r="D16" t="str">
            <v>Bb</v>
          </cell>
          <cell r="E16" t="str">
            <v>TC</v>
          </cell>
          <cell r="F16">
            <v>2</v>
          </cell>
          <cell r="G16">
            <v>2.1538461538461537</v>
          </cell>
          <cell r="H16" t="str">
            <v>Đại học</v>
          </cell>
          <cell r="J16">
            <v>37992</v>
          </cell>
          <cell r="K16">
            <v>40184</v>
          </cell>
        </row>
        <row r="17">
          <cell r="B17" t="str">
            <v>Tổ trưởng phụ trách VS</v>
          </cell>
          <cell r="C17">
            <v>23</v>
          </cell>
          <cell r="D17" t="str">
            <v>C</v>
          </cell>
          <cell r="E17" t="str">
            <v>TC</v>
          </cell>
          <cell r="F17">
            <v>2</v>
          </cell>
          <cell r="G17">
            <v>2.6666666666666665</v>
          </cell>
          <cell r="H17" t="str">
            <v>Đại học</v>
          </cell>
          <cell r="J17">
            <v>37991</v>
          </cell>
          <cell r="K17" t="str">
            <v>18/4/2008</v>
          </cell>
        </row>
        <row r="18">
          <cell r="B18" t="str">
            <v>Tổ trưởng bảo vệ</v>
          </cell>
          <cell r="C18">
            <v>32</v>
          </cell>
          <cell r="D18" t="str">
            <v>C</v>
          </cell>
          <cell r="E18" t="str">
            <v>TC</v>
          </cell>
          <cell r="F18">
            <v>2</v>
          </cell>
          <cell r="G18">
            <v>2.6666666666666665</v>
          </cell>
          <cell r="H18" t="str">
            <v>Đại học</v>
          </cell>
          <cell r="J18">
            <v>40231</v>
          </cell>
          <cell r="K18">
            <v>40231</v>
          </cell>
        </row>
        <row r="19">
          <cell r="B19" t="str">
            <v>Trưởng bộ phận kỹ thuật</v>
          </cell>
          <cell r="C19">
            <v>33</v>
          </cell>
          <cell r="D19" t="str">
            <v>C</v>
          </cell>
          <cell r="E19" t="str">
            <v>CD</v>
          </cell>
          <cell r="F19">
            <v>2</v>
          </cell>
          <cell r="G19">
            <v>2.6666666666666665</v>
          </cell>
          <cell r="H19" t="str">
            <v>Đại học</v>
          </cell>
          <cell r="J19">
            <v>40185</v>
          </cell>
          <cell r="K19">
            <v>40185</v>
          </cell>
        </row>
        <row r="20">
          <cell r="B20" t="str">
            <v>Trưởng bộ phận kinh doanh</v>
          </cell>
          <cell r="C20">
            <v>40</v>
          </cell>
          <cell r="D20" t="str">
            <v>C</v>
          </cell>
          <cell r="E20" t="str">
            <v>CD</v>
          </cell>
          <cell r="F20">
            <v>2</v>
          </cell>
          <cell r="G20">
            <v>3.1428571428571428</v>
          </cell>
          <cell r="H20" t="str">
            <v>Đại học</v>
          </cell>
          <cell r="J20">
            <v>38359</v>
          </cell>
          <cell r="K20">
            <v>38359</v>
          </cell>
        </row>
        <row r="21">
          <cell r="B21" t="str">
            <v>NV Thống kê kế hoạch</v>
          </cell>
          <cell r="C21">
            <v>27</v>
          </cell>
          <cell r="D21" t="str">
            <v>D</v>
          </cell>
          <cell r="E21" t="str">
            <v>DH</v>
          </cell>
          <cell r="F21">
            <v>4</v>
          </cell>
          <cell r="G21">
            <v>2.7777777777777777</v>
          </cell>
          <cell r="H21" t="str">
            <v>Đại học</v>
          </cell>
          <cell r="J21">
            <v>35069</v>
          </cell>
          <cell r="K21" t="str">
            <v>24/3/2010</v>
          </cell>
        </row>
        <row r="22">
          <cell r="B22" t="str">
            <v>NV Công tác đoàn thể</v>
          </cell>
          <cell r="C22">
            <v>28</v>
          </cell>
          <cell r="D22" t="str">
            <v>D</v>
          </cell>
          <cell r="E22" t="str">
            <v>DH</v>
          </cell>
          <cell r="F22">
            <v>4</v>
          </cell>
          <cell r="G22">
            <v>1.7777777777777777</v>
          </cell>
          <cell r="H22" t="str">
            <v>Đại học</v>
          </cell>
          <cell r="J22">
            <v>39310</v>
          </cell>
          <cell r="K22">
            <v>40182</v>
          </cell>
        </row>
        <row r="23">
          <cell r="B23" t="str">
            <v>NV Chế độ chính sách</v>
          </cell>
          <cell r="C23">
            <v>29</v>
          </cell>
          <cell r="D23" t="str">
            <v>D</v>
          </cell>
          <cell r="E23" t="str">
            <v>DH</v>
          </cell>
          <cell r="F23">
            <v>4</v>
          </cell>
          <cell r="G23">
            <v>1.7777777777777777</v>
          </cell>
          <cell r="H23" t="str">
            <v>Đại học</v>
          </cell>
          <cell r="J23">
            <v>40179</v>
          </cell>
          <cell r="K23">
            <v>40179</v>
          </cell>
        </row>
        <row r="24">
          <cell r="B24" t="str">
            <v>NV Tổng hợp thông tin</v>
          </cell>
          <cell r="C24">
            <v>27</v>
          </cell>
          <cell r="D24" t="str">
            <v>D</v>
          </cell>
          <cell r="E24" t="str">
            <v>DH</v>
          </cell>
          <cell r="F24">
            <v>4</v>
          </cell>
          <cell r="G24">
            <v>3.0625</v>
          </cell>
          <cell r="H24" t="str">
            <v>Đại học</v>
          </cell>
          <cell r="J24">
            <v>37998</v>
          </cell>
          <cell r="K24">
            <v>37998</v>
          </cell>
        </row>
        <row r="25">
          <cell r="B25" t="str">
            <v>NV Quản lý khối lượng và hoàn công</v>
          </cell>
          <cell r="C25">
            <v>34</v>
          </cell>
          <cell r="D25" t="str">
            <v>E</v>
          </cell>
          <cell r="E25" t="str">
            <v>DH</v>
          </cell>
          <cell r="F25">
            <v>4</v>
          </cell>
          <cell r="G25">
            <v>3.1333333333333333</v>
          </cell>
          <cell r="H25" t="str">
            <v>Đại học</v>
          </cell>
          <cell r="J25">
            <v>39399</v>
          </cell>
          <cell r="K25">
            <v>39399</v>
          </cell>
        </row>
        <row r="26">
          <cell r="B26" t="str">
            <v>NV Chuẩn bị đầu tư</v>
          </cell>
          <cell r="C26">
            <v>31</v>
          </cell>
          <cell r="D26" t="str">
            <v>E</v>
          </cell>
          <cell r="E26" t="str">
            <v>DH</v>
          </cell>
          <cell r="F26">
            <v>4</v>
          </cell>
          <cell r="G26">
            <v>3.1176470588235294</v>
          </cell>
          <cell r="H26" t="str">
            <v>Đại học</v>
          </cell>
          <cell r="J26">
            <v>39459</v>
          </cell>
          <cell r="K26">
            <v>39459</v>
          </cell>
        </row>
        <row r="27">
          <cell r="B27" t="str">
            <v>NV Kinh tế Đầu tư</v>
          </cell>
          <cell r="C27">
            <v>31</v>
          </cell>
          <cell r="D27" t="str">
            <v>E</v>
          </cell>
          <cell r="E27" t="str">
            <v>DHCN</v>
          </cell>
          <cell r="F27">
            <v>6</v>
          </cell>
          <cell r="G27">
            <v>2.9375</v>
          </cell>
          <cell r="H27" t="str">
            <v>Đại học</v>
          </cell>
          <cell r="J27">
            <v>33970</v>
          </cell>
          <cell r="K27">
            <v>38631</v>
          </cell>
        </row>
        <row r="28">
          <cell r="B28" t="str">
            <v>NV Thực hiện đầu tư</v>
          </cell>
          <cell r="C28">
            <v>32</v>
          </cell>
          <cell r="D28" t="str">
            <v>E</v>
          </cell>
          <cell r="E28" t="str">
            <v>DHCN</v>
          </cell>
          <cell r="F28">
            <v>6</v>
          </cell>
          <cell r="G28">
            <v>3</v>
          </cell>
          <cell r="H28" t="str">
            <v>Đại học</v>
          </cell>
          <cell r="J28">
            <v>37992</v>
          </cell>
          <cell r="K28">
            <v>37992</v>
          </cell>
        </row>
        <row r="29">
          <cell r="B29" t="str">
            <v>KT kho quỹ, TS, lương, Bảo hiểm</v>
          </cell>
          <cell r="C29">
            <v>33</v>
          </cell>
          <cell r="D29" t="str">
            <v>E</v>
          </cell>
          <cell r="E29" t="str">
            <v>DH</v>
          </cell>
          <cell r="F29">
            <v>4</v>
          </cell>
          <cell r="G29">
            <v>3.125</v>
          </cell>
          <cell r="H29" t="str">
            <v>Đại học</v>
          </cell>
          <cell r="J29">
            <v>38361</v>
          </cell>
          <cell r="K29" t="str">
            <v>22/6/2010</v>
          </cell>
        </row>
        <row r="30">
          <cell r="B30" t="str">
            <v>KT Thanh toán</v>
          </cell>
          <cell r="C30">
            <v>34</v>
          </cell>
          <cell r="D30" t="str">
            <v>E</v>
          </cell>
          <cell r="E30" t="str">
            <v>DH</v>
          </cell>
          <cell r="F30">
            <v>4</v>
          </cell>
          <cell r="G30">
            <v>3.0625</v>
          </cell>
          <cell r="H30" t="str">
            <v>Đại học</v>
          </cell>
          <cell r="J30">
            <v>37633</v>
          </cell>
          <cell r="K30">
            <v>40185</v>
          </cell>
        </row>
        <row r="31">
          <cell r="B31" t="str">
            <v>KT Ngân hàng</v>
          </cell>
          <cell r="C31">
            <v>34</v>
          </cell>
          <cell r="D31" t="str">
            <v>E</v>
          </cell>
          <cell r="E31" t="str">
            <v>DH</v>
          </cell>
          <cell r="F31">
            <v>4</v>
          </cell>
          <cell r="G31">
            <v>3.1875</v>
          </cell>
          <cell r="H31" t="str">
            <v>Đại học</v>
          </cell>
          <cell r="J31">
            <v>38764</v>
          </cell>
          <cell r="K31">
            <v>39821</v>
          </cell>
        </row>
        <row r="32">
          <cell r="B32" t="str">
            <v>NV Quản trị hành chính, ATLĐ</v>
          </cell>
          <cell r="C32">
            <v>33</v>
          </cell>
          <cell r="D32" t="str">
            <v>E</v>
          </cell>
          <cell r="E32" t="str">
            <v>DH</v>
          </cell>
          <cell r="F32">
            <v>4</v>
          </cell>
          <cell r="G32">
            <v>2.2666666666666666</v>
          </cell>
          <cell r="H32" t="str">
            <v>Đại học</v>
          </cell>
          <cell r="J32">
            <v>40042</v>
          </cell>
          <cell r="K32">
            <v>40042</v>
          </cell>
        </row>
        <row r="33">
          <cell r="B33" t="str">
            <v>NV Thẩm định đầu tư</v>
          </cell>
          <cell r="C33">
            <v>31</v>
          </cell>
          <cell r="D33" t="str">
            <v>E</v>
          </cell>
          <cell r="E33" t="str">
            <v>DH</v>
          </cell>
          <cell r="F33">
            <v>4</v>
          </cell>
          <cell r="G33">
            <v>2.8823529411764706</v>
          </cell>
          <cell r="H33" t="str">
            <v>Đại học</v>
          </cell>
          <cell r="J33">
            <v>40315</v>
          </cell>
          <cell r="K33">
            <v>40315</v>
          </cell>
        </row>
        <row r="34">
          <cell r="B34" t="str">
            <v>NV Truyền thông</v>
          </cell>
          <cell r="C34">
            <v>34</v>
          </cell>
          <cell r="D34" t="str">
            <v>E</v>
          </cell>
          <cell r="E34" t="str">
            <v>DH</v>
          </cell>
          <cell r="F34">
            <v>4</v>
          </cell>
          <cell r="G34">
            <v>2.9375</v>
          </cell>
          <cell r="H34" t="str">
            <v>Đại học</v>
          </cell>
          <cell r="J34">
            <v>40459</v>
          </cell>
          <cell r="K34">
            <v>40459</v>
          </cell>
        </row>
        <row r="35">
          <cell r="B35" t="str">
            <v>NV Kinh tế dự toán &amp; quản lý hợp đồng</v>
          </cell>
          <cell r="C35">
            <v>36</v>
          </cell>
          <cell r="D35" t="str">
            <v>F</v>
          </cell>
          <cell r="E35" t="str">
            <v>DH</v>
          </cell>
          <cell r="F35">
            <v>4</v>
          </cell>
          <cell r="G35">
            <v>3.1666666666666665</v>
          </cell>
          <cell r="H35" t="str">
            <v>Đại học</v>
          </cell>
          <cell r="J35">
            <v>39701</v>
          </cell>
          <cell r="K35">
            <v>39701</v>
          </cell>
        </row>
        <row r="36">
          <cell r="B36" t="str">
            <v>NV Quản lý chất lượng và tiến độ</v>
          </cell>
          <cell r="C36">
            <v>35</v>
          </cell>
          <cell r="D36" t="str">
            <v>F</v>
          </cell>
          <cell r="E36" t="str">
            <v>DH</v>
          </cell>
          <cell r="F36">
            <v>4</v>
          </cell>
          <cell r="G36">
            <v>3.1111111111111112</v>
          </cell>
          <cell r="H36" t="str">
            <v>Đại học</v>
          </cell>
          <cell r="J36">
            <v>30317</v>
          </cell>
          <cell r="K36">
            <v>38631</v>
          </cell>
        </row>
        <row r="37">
          <cell r="B37" t="str">
            <v>NV Quản lý trắc địa, thí nghiệm</v>
          </cell>
          <cell r="C37">
            <v>36</v>
          </cell>
          <cell r="D37" t="str">
            <v>F</v>
          </cell>
          <cell r="E37" t="str">
            <v>DH</v>
          </cell>
          <cell r="F37">
            <v>4</v>
          </cell>
          <cell r="G37">
            <v>3.1333333333333333</v>
          </cell>
          <cell r="H37" t="str">
            <v>Đại học</v>
          </cell>
          <cell r="J37">
            <v>29952</v>
          </cell>
          <cell r="K37">
            <v>38631</v>
          </cell>
        </row>
        <row r="38">
          <cell r="B38" t="str">
            <v>NV Quản lý Kỹ thuật Thi công</v>
          </cell>
          <cell r="C38">
            <v>37</v>
          </cell>
          <cell r="D38" t="str">
            <v>F</v>
          </cell>
          <cell r="E38" t="str">
            <v>DHCN</v>
          </cell>
          <cell r="F38">
            <v>6</v>
          </cell>
          <cell r="G38">
            <v>2.8888888888888888</v>
          </cell>
          <cell r="H38" t="str">
            <v>Đại học</v>
          </cell>
          <cell r="J38">
            <v>37990</v>
          </cell>
          <cell r="K38">
            <v>37990</v>
          </cell>
        </row>
        <row r="39">
          <cell r="B39" t="str">
            <v>NV Tiếp thị đấu thầu</v>
          </cell>
          <cell r="C39">
            <v>39</v>
          </cell>
          <cell r="D39" t="str">
            <v>F</v>
          </cell>
          <cell r="E39" t="str">
            <v>DH</v>
          </cell>
          <cell r="F39">
            <v>4</v>
          </cell>
          <cell r="G39">
            <v>3.5555555555555554</v>
          </cell>
          <cell r="H39" t="str">
            <v>Đại học</v>
          </cell>
          <cell r="J39">
            <v>33974</v>
          </cell>
          <cell r="K39">
            <v>33974</v>
          </cell>
        </row>
        <row r="40">
          <cell r="B40" t="str">
            <v>NV Quản lý Thiết bị Công nghệ</v>
          </cell>
          <cell r="C40">
            <v>39</v>
          </cell>
          <cell r="D40" t="str">
            <v>F</v>
          </cell>
          <cell r="E40" t="str">
            <v>DHCN</v>
          </cell>
          <cell r="F40">
            <v>6</v>
          </cell>
          <cell r="G40">
            <v>3</v>
          </cell>
          <cell r="H40" t="str">
            <v>Đại học</v>
          </cell>
          <cell r="J40">
            <v>39091</v>
          </cell>
          <cell r="K40">
            <v>39091</v>
          </cell>
        </row>
        <row r="41">
          <cell r="B41" t="str">
            <v>NV Khai thác &amp; mua sắm TBCN</v>
          </cell>
          <cell r="C41">
            <v>39</v>
          </cell>
          <cell r="D41" t="str">
            <v>F</v>
          </cell>
          <cell r="E41" t="str">
            <v>DHCN</v>
          </cell>
          <cell r="F41">
            <v>6</v>
          </cell>
          <cell r="G41">
            <v>3</v>
          </cell>
          <cell r="H41" t="str">
            <v>Đại học</v>
          </cell>
          <cell r="J41">
            <v>29596</v>
          </cell>
          <cell r="K41">
            <v>29596</v>
          </cell>
        </row>
        <row r="42">
          <cell r="B42" t="str">
            <v>Phó ban QLDA</v>
          </cell>
          <cell r="C42">
            <v>45</v>
          </cell>
          <cell r="D42" t="str">
            <v>G</v>
          </cell>
          <cell r="E42" t="str">
            <v>DH</v>
          </cell>
          <cell r="F42">
            <v>4</v>
          </cell>
          <cell r="G42">
            <v>3.5416666666666665</v>
          </cell>
          <cell r="H42" t="str">
            <v>Đại học</v>
          </cell>
          <cell r="J42">
            <v>31787</v>
          </cell>
          <cell r="K42">
            <v>31787</v>
          </cell>
        </row>
        <row r="43">
          <cell r="B43" t="str">
            <v>Phó ban Quản lý Nhà</v>
          </cell>
          <cell r="C43">
            <v>44</v>
          </cell>
          <cell r="D43" t="str">
            <v>G</v>
          </cell>
          <cell r="E43" t="str">
            <v>DH</v>
          </cell>
          <cell r="F43">
            <v>4</v>
          </cell>
          <cell r="G43">
            <v>3.92</v>
          </cell>
          <cell r="H43" t="str">
            <v>Đại học</v>
          </cell>
          <cell r="J43">
            <v>32512</v>
          </cell>
          <cell r="K43">
            <v>32512</v>
          </cell>
        </row>
        <row r="44">
          <cell r="B44" t="str">
            <v>Phó phòng Đầu tư (THDT)</v>
          </cell>
          <cell r="C44">
            <v>46</v>
          </cell>
          <cell r="D44" t="str">
            <v>G</v>
          </cell>
          <cell r="E44" t="str">
            <v>DHCN</v>
          </cell>
          <cell r="F44">
            <v>6</v>
          </cell>
          <cell r="G44">
            <v>3.4166666666666665</v>
          </cell>
          <cell r="H44" t="str">
            <v>Đại học</v>
          </cell>
          <cell r="J44">
            <v>32519</v>
          </cell>
          <cell r="K44">
            <v>32519</v>
          </cell>
        </row>
        <row r="45">
          <cell r="B45" t="str">
            <v>Phó phòng Đầu tư (CBDT)</v>
          </cell>
          <cell r="C45">
            <v>48</v>
          </cell>
          <cell r="D45" t="str">
            <v>G</v>
          </cell>
          <cell r="E45" t="str">
            <v>DH</v>
          </cell>
          <cell r="F45">
            <v>4</v>
          </cell>
          <cell r="G45">
            <v>3.4583333333333335</v>
          </cell>
          <cell r="H45" t="str">
            <v>Đại học</v>
          </cell>
          <cell r="J45">
            <v>32151</v>
          </cell>
          <cell r="K45" t="str">
            <v>17/01/2008</v>
          </cell>
        </row>
        <row r="46">
          <cell r="B46" t="str">
            <v>Phó phòng TCKT - Tài chính</v>
          </cell>
          <cell r="C46">
            <v>44</v>
          </cell>
          <cell r="D46" t="str">
            <v>G</v>
          </cell>
          <cell r="E46" t="str">
            <v>DHCN</v>
          </cell>
          <cell r="F46">
            <v>6</v>
          </cell>
          <cell r="G46">
            <v>3.5</v>
          </cell>
          <cell r="H46" t="str">
            <v>Đại học</v>
          </cell>
          <cell r="J46">
            <v>39091</v>
          </cell>
          <cell r="K46">
            <v>39816</v>
          </cell>
        </row>
        <row r="47">
          <cell r="B47" t="str">
            <v>Phó phòng TCKT - Nghiệp vụ Kế toán</v>
          </cell>
          <cell r="C47">
            <v>48</v>
          </cell>
          <cell r="D47" t="str">
            <v>G</v>
          </cell>
          <cell r="E47" t="str">
            <v>DHCN</v>
          </cell>
          <cell r="F47">
            <v>6</v>
          </cell>
          <cell r="G47">
            <v>3.5625</v>
          </cell>
          <cell r="H47" t="str">
            <v>Đại học</v>
          </cell>
          <cell r="J47">
            <v>39091</v>
          </cell>
          <cell r="K47">
            <v>39091</v>
          </cell>
        </row>
        <row r="48">
          <cell r="B48" t="str">
            <v>Phó phòng Kinh tế Kỹ thuật</v>
          </cell>
          <cell r="C48">
            <v>48</v>
          </cell>
          <cell r="D48" t="str">
            <v>G</v>
          </cell>
          <cell r="E48" t="str">
            <v>DH</v>
          </cell>
          <cell r="F48">
            <v>4</v>
          </cell>
          <cell r="G48">
            <v>3.7142857142857144</v>
          </cell>
          <cell r="H48" t="str">
            <v>Đại học</v>
          </cell>
          <cell r="J48">
            <v>39093</v>
          </cell>
          <cell r="K48">
            <v>39093</v>
          </cell>
        </row>
        <row r="49">
          <cell r="B49" t="str">
            <v>Phó phòng Tổ chức Hành chính</v>
          </cell>
          <cell r="C49">
            <v>48</v>
          </cell>
          <cell r="D49" t="str">
            <v>G</v>
          </cell>
          <cell r="E49" t="str">
            <v>DH</v>
          </cell>
          <cell r="F49">
            <v>4</v>
          </cell>
          <cell r="G49">
            <v>3.1904761904761907</v>
          </cell>
          <cell r="H49" t="str">
            <v>Đại học</v>
          </cell>
          <cell r="J49">
            <v>38724</v>
          </cell>
          <cell r="K49">
            <v>38724</v>
          </cell>
        </row>
        <row r="50">
          <cell r="B50" t="str">
            <v>Phó phòng Tổng hợp</v>
          </cell>
          <cell r="C50">
            <v>42</v>
          </cell>
          <cell r="D50" t="str">
            <v>G</v>
          </cell>
          <cell r="E50" t="str">
            <v>DH</v>
          </cell>
          <cell r="F50">
            <v>4</v>
          </cell>
          <cell r="G50">
            <v>3.5263157894736841</v>
          </cell>
          <cell r="H50" t="str">
            <v>Đại học</v>
          </cell>
          <cell r="J50">
            <v>27770</v>
          </cell>
          <cell r="K50">
            <v>27770</v>
          </cell>
        </row>
        <row r="51">
          <cell r="B51" t="str">
            <v>Trưởng ban QLDA</v>
          </cell>
          <cell r="C51">
            <v>63</v>
          </cell>
          <cell r="D51" t="str">
            <v>H</v>
          </cell>
          <cell r="E51" t="str">
            <v>DH</v>
          </cell>
          <cell r="F51">
            <v>4</v>
          </cell>
          <cell r="G51">
            <v>3.84</v>
          </cell>
          <cell r="H51" t="str">
            <v>Đại học</v>
          </cell>
          <cell r="J51">
            <v>35434</v>
          </cell>
          <cell r="K51">
            <v>35434</v>
          </cell>
        </row>
        <row r="52">
          <cell r="B52" t="str">
            <v>Trưởng Ban quản lý Nhà</v>
          </cell>
          <cell r="C52">
            <v>48</v>
          </cell>
          <cell r="D52" t="str">
            <v>H</v>
          </cell>
          <cell r="E52" t="str">
            <v>DH</v>
          </cell>
          <cell r="F52">
            <v>4</v>
          </cell>
          <cell r="G52">
            <v>1.5</v>
          </cell>
          <cell r="H52" t="str">
            <v>Đại học</v>
          </cell>
          <cell r="J52">
            <v>40149</v>
          </cell>
          <cell r="K52">
            <v>40149</v>
          </cell>
        </row>
        <row r="53">
          <cell r="B53" t="str">
            <v>Trưởng phòng Đầu tư</v>
          </cell>
          <cell r="C53">
            <v>58</v>
          </cell>
          <cell r="D53" t="str">
            <v>H</v>
          </cell>
          <cell r="E53" t="str">
            <v>DH</v>
          </cell>
          <cell r="F53">
            <v>4</v>
          </cell>
          <cell r="G53">
            <v>3.9230769230769229</v>
          </cell>
          <cell r="H53" t="str">
            <v>Đại học</v>
          </cell>
          <cell r="J53">
            <v>40009</v>
          </cell>
          <cell r="K53">
            <v>40009</v>
          </cell>
        </row>
        <row r="54">
          <cell r="B54" t="str">
            <v>Trưởng phòng Kinh tế Kỹ thuật</v>
          </cell>
          <cell r="C54">
            <v>55</v>
          </cell>
          <cell r="D54" t="str">
            <v>H</v>
          </cell>
          <cell r="E54" t="str">
            <v>DH</v>
          </cell>
          <cell r="F54">
            <v>4</v>
          </cell>
          <cell r="G54">
            <v>4.3478260869565215</v>
          </cell>
          <cell r="H54" t="str">
            <v>Đại học</v>
          </cell>
          <cell r="J54">
            <v>39448</v>
          </cell>
          <cell r="K54">
            <v>39448</v>
          </cell>
        </row>
        <row r="55">
          <cell r="B55" t="str">
            <v>Trưởng phòng Thiết bị Công nghệ</v>
          </cell>
          <cell r="C55">
            <v>63</v>
          </cell>
          <cell r="D55" t="str">
            <v>H</v>
          </cell>
          <cell r="E55" t="str">
            <v>DHCN</v>
          </cell>
          <cell r="F55">
            <v>6</v>
          </cell>
          <cell r="G55">
            <v>3.92</v>
          </cell>
          <cell r="H55" t="str">
            <v>Đại học</v>
          </cell>
          <cell r="J55">
            <v>39093</v>
          </cell>
          <cell r="K55">
            <v>39093</v>
          </cell>
        </row>
        <row r="56">
          <cell r="B56" t="str">
            <v>Trưởng phòng Tổ chức Hành chính</v>
          </cell>
          <cell r="C56">
            <v>57</v>
          </cell>
          <cell r="D56" t="str">
            <v>H</v>
          </cell>
          <cell r="E56" t="str">
            <v>DH</v>
          </cell>
          <cell r="F56">
            <v>4</v>
          </cell>
          <cell r="G56">
            <v>3.7826086956521738</v>
          </cell>
          <cell r="H56" t="str">
            <v>Đại học</v>
          </cell>
          <cell r="J56">
            <v>37992</v>
          </cell>
          <cell r="K56">
            <v>37992</v>
          </cell>
        </row>
        <row r="57">
          <cell r="B57" t="str">
            <v>Trưởng phòng Tổng hợp</v>
          </cell>
          <cell r="C57">
            <v>55</v>
          </cell>
          <cell r="D57" t="str">
            <v>H</v>
          </cell>
          <cell r="E57" t="str">
            <v>DHCN</v>
          </cell>
          <cell r="F57">
            <v>6</v>
          </cell>
          <cell r="G57">
            <v>3.7727272727272729</v>
          </cell>
          <cell r="H57" t="str">
            <v>Đại học</v>
          </cell>
          <cell r="J57">
            <v>35440</v>
          </cell>
          <cell r="K57">
            <v>35440</v>
          </cell>
        </row>
        <row r="58">
          <cell r="B58" t="str">
            <v>Kế toán trưởng</v>
          </cell>
          <cell r="C58">
            <v>58</v>
          </cell>
          <cell r="D58" t="str">
            <v>H</v>
          </cell>
          <cell r="E58" t="str">
            <v>DHCN</v>
          </cell>
          <cell r="F58">
            <v>6</v>
          </cell>
          <cell r="G58">
            <v>4.0999999999999996</v>
          </cell>
          <cell r="H58" t="str">
            <v>Đại học</v>
          </cell>
          <cell r="J58">
            <v>30323</v>
          </cell>
          <cell r="K58">
            <v>30323</v>
          </cell>
        </row>
        <row r="59">
          <cell r="B59" t="str">
            <v>Phó TGĐ tài chính đầu tư</v>
          </cell>
          <cell r="C59">
            <v>66</v>
          </cell>
          <cell r="D59" t="str">
            <v>I</v>
          </cell>
          <cell r="E59" t="str">
            <v>DH</v>
          </cell>
          <cell r="F59">
            <v>4</v>
          </cell>
          <cell r="G59">
            <v>4.2608695652173916</v>
          </cell>
          <cell r="H59" t="str">
            <v>Đại học</v>
          </cell>
          <cell r="J59">
            <v>35796</v>
          </cell>
          <cell r="K59">
            <v>35796</v>
          </cell>
        </row>
        <row r="60">
          <cell r="B60" t="str">
            <v>Phó TGĐ Xây lắp</v>
          </cell>
          <cell r="C60">
            <v>66</v>
          </cell>
          <cell r="D60" t="str">
            <v>I</v>
          </cell>
          <cell r="E60" t="str">
            <v>DH</v>
          </cell>
          <cell r="F60">
            <v>4</v>
          </cell>
          <cell r="G60">
            <v>4.4285714285714288</v>
          </cell>
          <cell r="H60" t="str">
            <v>Đại học</v>
          </cell>
          <cell r="J60">
            <v>38508</v>
          </cell>
          <cell r="K60">
            <v>38508</v>
          </cell>
        </row>
        <row r="61">
          <cell r="B61" t="str">
            <v>Phó TGĐ Đầu tư &amp; QLDA</v>
          </cell>
          <cell r="C61">
            <v>66</v>
          </cell>
          <cell r="D61" t="str">
            <v>I</v>
          </cell>
          <cell r="E61" t="str">
            <v>DH</v>
          </cell>
          <cell r="F61">
            <v>4</v>
          </cell>
          <cell r="G61">
            <v>4.2608695652173916</v>
          </cell>
          <cell r="H61" t="str">
            <v>Đại học</v>
          </cell>
          <cell r="J61">
            <v>37631</v>
          </cell>
          <cell r="K61">
            <v>37631</v>
          </cell>
        </row>
        <row r="62">
          <cell r="B62" t="str">
            <v>Tổng Giám đốc</v>
          </cell>
          <cell r="C62">
            <v>70</v>
          </cell>
          <cell r="D62" t="str">
            <v>K</v>
          </cell>
          <cell r="E62" t="str">
            <v>DH</v>
          </cell>
          <cell r="F62">
            <v>4</v>
          </cell>
          <cell r="G62">
            <v>4.4782608695652177</v>
          </cell>
          <cell r="H62" t="str">
            <v>Đại học</v>
          </cell>
          <cell r="J62">
            <v>37992</v>
          </cell>
          <cell r="K62">
            <v>37992</v>
          </cell>
        </row>
        <row r="63">
          <cell r="B63" t="str">
            <v>Chuyên gia</v>
          </cell>
          <cell r="C63">
            <v>72</v>
          </cell>
          <cell r="D63" t="str">
            <v>L</v>
          </cell>
          <cell r="E63" t="str">
            <v>DH</v>
          </cell>
          <cell r="F63">
            <v>4</v>
          </cell>
          <cell r="G63">
            <v>4</v>
          </cell>
          <cell r="H63" t="str">
            <v>Không yêu cầu chuẩn</v>
          </cell>
          <cell r="J63">
            <v>39091</v>
          </cell>
          <cell r="K63">
            <v>39091</v>
          </cell>
        </row>
        <row r="64">
          <cell r="B64" t="str">
            <v>Nguyễn Khắc Vui</v>
          </cell>
          <cell r="C64" t="str">
            <v>Ban Quản lý nhà</v>
          </cell>
          <cell r="D64" t="str">
            <v>NV Bảo vệ</v>
          </cell>
          <cell r="E64" t="str">
            <v>NV Bảo vệ</v>
          </cell>
          <cell r="F64" t="str">
            <v>GT</v>
          </cell>
          <cell r="G64" t="str">
            <v>GT</v>
          </cell>
          <cell r="H64" t="str">
            <v>Đại học</v>
          </cell>
          <cell r="J64">
            <v>39452</v>
          </cell>
          <cell r="K64">
            <v>39452</v>
          </cell>
        </row>
        <row r="65">
          <cell r="B65" t="str">
            <v>Vũ Văn Viễn</v>
          </cell>
          <cell r="C65" t="str">
            <v>Ban Quản lý nhà</v>
          </cell>
          <cell r="D65" t="str">
            <v>NV Bảo vệ</v>
          </cell>
          <cell r="E65" t="str">
            <v>NV Bảo vệ</v>
          </cell>
          <cell r="F65" t="str">
            <v>GT</v>
          </cell>
          <cell r="G65" t="str">
            <v>GT</v>
          </cell>
          <cell r="H65" t="str">
            <v>Đại học</v>
          </cell>
          <cell r="J65">
            <v>38883</v>
          </cell>
          <cell r="K65">
            <v>38883</v>
          </cell>
        </row>
        <row r="66">
          <cell r="B66" t="str">
            <v>Đỗ Kim Giang</v>
          </cell>
          <cell r="C66" t="str">
            <v>Ban Quản lý nhà</v>
          </cell>
          <cell r="D66" t="str">
            <v>NV Bảo vệ</v>
          </cell>
          <cell r="E66" t="str">
            <v>NV Bảo vệ</v>
          </cell>
          <cell r="F66" t="str">
            <v>GT</v>
          </cell>
          <cell r="G66" t="str">
            <v>GT</v>
          </cell>
          <cell r="H66" t="str">
            <v>Đại học</v>
          </cell>
          <cell r="J66">
            <v>31059</v>
          </cell>
          <cell r="K66">
            <v>31059</v>
          </cell>
        </row>
        <row r="67">
          <cell r="B67" t="str">
            <v>Phạm Văn Dũng</v>
          </cell>
          <cell r="C67" t="str">
            <v>Ban Quản lý nhà</v>
          </cell>
          <cell r="D67" t="str">
            <v>NV Bảo vệ</v>
          </cell>
          <cell r="E67" t="str">
            <v>NV Bảo vệ</v>
          </cell>
          <cell r="F67" t="str">
            <v>GT</v>
          </cell>
          <cell r="G67" t="str">
            <v>GT</v>
          </cell>
          <cell r="H67" t="str">
            <v>Đại học</v>
          </cell>
          <cell r="J67">
            <v>39086</v>
          </cell>
          <cell r="K67">
            <v>39086</v>
          </cell>
        </row>
        <row r="68">
          <cell r="B68" t="str">
            <v>Trịnh Văn Duẩn</v>
          </cell>
          <cell r="C68" t="str">
            <v>Ban Quản lý nhà</v>
          </cell>
          <cell r="D68" t="str">
            <v>NV Bảo vệ</v>
          </cell>
          <cell r="E68" t="str">
            <v>NV Bảo vệ</v>
          </cell>
          <cell r="F68" t="str">
            <v>GT</v>
          </cell>
          <cell r="G68" t="str">
            <v>GT</v>
          </cell>
          <cell r="H68" t="str">
            <v>Đại học</v>
          </cell>
          <cell r="J68">
            <v>39636</v>
          </cell>
          <cell r="K68">
            <v>39636</v>
          </cell>
        </row>
        <row r="69">
          <cell r="B69" t="str">
            <v>Trịnh Hữu Thắng</v>
          </cell>
          <cell r="C69" t="str">
            <v>Ban Quản lý nhà</v>
          </cell>
          <cell r="D69" t="str">
            <v>NV Bảo vệ</v>
          </cell>
          <cell r="E69" t="str">
            <v>NV Bảo vệ</v>
          </cell>
          <cell r="F69" t="str">
            <v>GT</v>
          </cell>
          <cell r="G69" t="str">
            <v>GT</v>
          </cell>
          <cell r="H69" t="str">
            <v>Đại học</v>
          </cell>
          <cell r="J69">
            <v>39815</v>
          </cell>
          <cell r="K69">
            <v>39815</v>
          </cell>
        </row>
        <row r="70">
          <cell r="B70" t="str">
            <v>Nguyễn Phi Cường</v>
          </cell>
          <cell r="C70" t="str">
            <v>Ban Quản lý nhà</v>
          </cell>
          <cell r="D70" t="str">
            <v>NV Bảo vệ</v>
          </cell>
          <cell r="E70" t="str">
            <v>NV Bảo vệ</v>
          </cell>
          <cell r="F70" t="str">
            <v>GT</v>
          </cell>
          <cell r="G70" t="str">
            <v>GT</v>
          </cell>
          <cell r="H70" t="str">
            <v>Đại học</v>
          </cell>
          <cell r="J70">
            <v>39604</v>
          </cell>
          <cell r="K70">
            <v>39604</v>
          </cell>
        </row>
        <row r="71">
          <cell r="B71" t="str">
            <v>Lê Thành Long</v>
          </cell>
          <cell r="C71" t="str">
            <v>Ban Quản lý nhà</v>
          </cell>
          <cell r="D71" t="str">
            <v>NV Bảo vệ</v>
          </cell>
          <cell r="E71" t="str">
            <v>NV Bảo vệ</v>
          </cell>
          <cell r="F71" t="str">
            <v>GT</v>
          </cell>
          <cell r="G71" t="str">
            <v>GT</v>
          </cell>
          <cell r="H71" t="str">
            <v>Đại học</v>
          </cell>
          <cell r="J71">
            <v>39604</v>
          </cell>
          <cell r="K71">
            <v>39604</v>
          </cell>
        </row>
        <row r="72">
          <cell r="B72" t="str">
            <v>Nguyễn Viết Sơn</v>
          </cell>
          <cell r="C72" t="str">
            <v>Ban Quản lý nhà</v>
          </cell>
          <cell r="D72" t="str">
            <v>NV Bảo vệ</v>
          </cell>
          <cell r="E72" t="str">
            <v>NV Bảo vệ</v>
          </cell>
          <cell r="F72" t="str">
            <v>GT</v>
          </cell>
          <cell r="G72" t="str">
            <v>GT</v>
          </cell>
          <cell r="H72" t="str">
            <v>Đại học</v>
          </cell>
          <cell r="J72">
            <v>39937</v>
          </cell>
          <cell r="K72">
            <v>39937</v>
          </cell>
        </row>
        <row r="73">
          <cell r="B73" t="str">
            <v>Lê Như Cúc</v>
          </cell>
          <cell r="C73" t="str">
            <v>Ban Quản lý nhà</v>
          </cell>
          <cell r="D73" t="str">
            <v>NV Bảo vệ</v>
          </cell>
          <cell r="E73" t="str">
            <v>NV Bảo vệ</v>
          </cell>
          <cell r="F73" t="str">
            <v>GT</v>
          </cell>
          <cell r="G73" t="str">
            <v>GT</v>
          </cell>
          <cell r="H73" t="str">
            <v>Đại học</v>
          </cell>
          <cell r="J73">
            <v>39450</v>
          </cell>
          <cell r="K73">
            <v>39450</v>
          </cell>
        </row>
        <row r="74">
          <cell r="B74" t="str">
            <v>Hà Minh Hùng</v>
          </cell>
          <cell r="C74" t="str">
            <v>Ban Quản lý nhà</v>
          </cell>
          <cell r="D74" t="str">
            <v>NV Bảo vệ</v>
          </cell>
          <cell r="E74" t="str">
            <v>NV Bảo vệ</v>
          </cell>
          <cell r="F74" t="str">
            <v>GT</v>
          </cell>
          <cell r="G74" t="str">
            <v>GT</v>
          </cell>
          <cell r="H74" t="str">
            <v>Đại học</v>
          </cell>
          <cell r="J74">
            <v>40081</v>
          </cell>
          <cell r="K74">
            <v>40081</v>
          </cell>
        </row>
        <row r="75">
          <cell r="B75" t="str">
            <v>Nguyễn Trường Xuân</v>
          </cell>
          <cell r="C75" t="str">
            <v>Ban Quản lý nhà</v>
          </cell>
          <cell r="D75" t="str">
            <v>NV Bảo vệ</v>
          </cell>
          <cell r="E75" t="str">
            <v>NV Bảo vệ</v>
          </cell>
          <cell r="F75" t="str">
            <v>GT</v>
          </cell>
          <cell r="G75" t="str">
            <v>GT</v>
          </cell>
          <cell r="H75" t="str">
            <v>Đại học</v>
          </cell>
          <cell r="J75">
            <v>40112</v>
          </cell>
          <cell r="K75">
            <v>40112</v>
          </cell>
        </row>
        <row r="76">
          <cell r="B76" t="str">
            <v>Nguyễn Văn Việt</v>
          </cell>
          <cell r="C76" t="str">
            <v>Ban Quản lý nhà</v>
          </cell>
          <cell r="D76" t="str">
            <v>NV Bảo vệ</v>
          </cell>
          <cell r="E76" t="str">
            <v>NV Bảo vệ</v>
          </cell>
          <cell r="F76" t="str">
            <v>GT</v>
          </cell>
          <cell r="G76" t="str">
            <v>GT</v>
          </cell>
          <cell r="H76" t="str">
            <v>Đại học</v>
          </cell>
          <cell r="J76">
            <v>40334</v>
          </cell>
          <cell r="K76">
            <v>40334</v>
          </cell>
        </row>
        <row r="77">
          <cell r="B77" t="str">
            <v>Nguyễn Trọng Khuê</v>
          </cell>
          <cell r="C77" t="str">
            <v>Ban Quản lý nhà</v>
          </cell>
          <cell r="D77" t="str">
            <v>NV Bảo vệ</v>
          </cell>
          <cell r="E77" t="str">
            <v>NV Bảo vệ</v>
          </cell>
          <cell r="F77" t="str">
            <v>GT</v>
          </cell>
          <cell r="G77" t="str">
            <v>GT</v>
          </cell>
          <cell r="H77" t="str">
            <v>Đại học</v>
          </cell>
          <cell r="J77">
            <v>40313</v>
          </cell>
          <cell r="K77">
            <v>40313</v>
          </cell>
        </row>
        <row r="78">
          <cell r="B78" t="str">
            <v>Nguyễn Gia Mạnh</v>
          </cell>
          <cell r="C78" t="str">
            <v>Ban Quản lý nhà</v>
          </cell>
          <cell r="D78" t="str">
            <v>NV Bảo vệ</v>
          </cell>
          <cell r="E78" t="str">
            <v>NV Bảo vệ</v>
          </cell>
          <cell r="F78" t="str">
            <v>GT</v>
          </cell>
          <cell r="G78" t="str">
            <v>GT</v>
          </cell>
          <cell r="H78" t="str">
            <v>Đại học</v>
          </cell>
          <cell r="J78">
            <v>40184</v>
          </cell>
          <cell r="K78">
            <v>40184</v>
          </cell>
        </row>
        <row r="79">
          <cell r="B79" t="str">
            <v>Nguyễn Thị Hương</v>
          </cell>
          <cell r="C79" t="str">
            <v>Ban Quản lý nhà</v>
          </cell>
          <cell r="D79" t="str">
            <v>NV vệ sinh</v>
          </cell>
          <cell r="E79" t="str">
            <v>NV vệ sinh</v>
          </cell>
          <cell r="F79" t="str">
            <v>GT</v>
          </cell>
          <cell r="G79" t="str">
            <v>GT</v>
          </cell>
          <cell r="H79" t="str">
            <v>Đại học</v>
          </cell>
          <cell r="J79">
            <v>39450</v>
          </cell>
          <cell r="K79">
            <v>39450</v>
          </cell>
        </row>
        <row r="80">
          <cell r="B80" t="str">
            <v>Đào Hải Yến</v>
          </cell>
          <cell r="C80" t="str">
            <v>Ban Quản lý nhà</v>
          </cell>
          <cell r="D80" t="str">
            <v>NV vệ sinh</v>
          </cell>
          <cell r="E80" t="str">
            <v>NV vệ sinh</v>
          </cell>
          <cell r="F80" t="str">
            <v>GT</v>
          </cell>
          <cell r="G80" t="str">
            <v>GT</v>
          </cell>
          <cell r="H80" t="str">
            <v>Đại học</v>
          </cell>
          <cell r="J80">
            <v>39450</v>
          </cell>
          <cell r="K80">
            <v>39450</v>
          </cell>
        </row>
        <row r="81">
          <cell r="B81" t="str">
            <v>Công Thị Ánh Tuyết</v>
          </cell>
          <cell r="C81" t="str">
            <v>Ban Quản lý nhà</v>
          </cell>
          <cell r="D81" t="str">
            <v>NV vệ sinh</v>
          </cell>
          <cell r="E81" t="str">
            <v>NV vệ sinh</v>
          </cell>
          <cell r="F81" t="str">
            <v>GT</v>
          </cell>
          <cell r="G81" t="str">
            <v>GT</v>
          </cell>
          <cell r="H81" t="str">
            <v>Đại học</v>
          </cell>
          <cell r="J81">
            <v>39450</v>
          </cell>
          <cell r="K81">
            <v>39450</v>
          </cell>
        </row>
        <row r="82">
          <cell r="B82" t="str">
            <v>Nguyễn Thị Thu Hiền (B)</v>
          </cell>
          <cell r="C82" t="str">
            <v>Ban Quản lý nhà</v>
          </cell>
          <cell r="D82" t="str">
            <v>NV vệ sinh</v>
          </cell>
          <cell r="E82" t="str">
            <v>NV vệ sinh</v>
          </cell>
          <cell r="F82" t="str">
            <v>GT</v>
          </cell>
          <cell r="G82" t="str">
            <v>GT</v>
          </cell>
          <cell r="H82" t="str">
            <v>Đại học</v>
          </cell>
          <cell r="J82">
            <v>39450</v>
          </cell>
          <cell r="K82">
            <v>39450</v>
          </cell>
        </row>
        <row r="83">
          <cell r="B83" t="str">
            <v>Đỗ Thị Thu Hương</v>
          </cell>
          <cell r="C83" t="str">
            <v>Ban Quản lý nhà</v>
          </cell>
          <cell r="D83" t="str">
            <v>NV vệ sinh</v>
          </cell>
          <cell r="E83" t="str">
            <v>NV vệ sinh</v>
          </cell>
          <cell r="F83" t="str">
            <v>GT</v>
          </cell>
          <cell r="G83" t="str">
            <v>GT</v>
          </cell>
          <cell r="H83" t="str">
            <v>Đại học</v>
          </cell>
          <cell r="J83">
            <v>39452</v>
          </cell>
          <cell r="K83">
            <v>39452</v>
          </cell>
        </row>
        <row r="84">
          <cell r="B84" t="str">
            <v>Phạm Thị Mỹ</v>
          </cell>
          <cell r="C84" t="str">
            <v>Ban Quản lý nhà</v>
          </cell>
          <cell r="D84" t="str">
            <v>NV vệ sinh</v>
          </cell>
          <cell r="E84" t="str">
            <v>NV vệ sinh</v>
          </cell>
          <cell r="F84" t="str">
            <v>GT</v>
          </cell>
          <cell r="G84" t="str">
            <v>GT</v>
          </cell>
          <cell r="H84" t="str">
            <v>Đại học</v>
          </cell>
          <cell r="J84">
            <v>40031</v>
          </cell>
          <cell r="K84">
            <v>40031</v>
          </cell>
        </row>
        <row r="85">
          <cell r="B85" t="str">
            <v>Lê Thị Oai</v>
          </cell>
          <cell r="C85" t="str">
            <v>Ban Quản lý nhà</v>
          </cell>
          <cell r="D85" t="str">
            <v>NV vệ sinh</v>
          </cell>
          <cell r="E85" t="str">
            <v>NV vệ sinh</v>
          </cell>
          <cell r="F85" t="str">
            <v>GT</v>
          </cell>
          <cell r="G85" t="str">
            <v>GT</v>
          </cell>
          <cell r="H85" t="str">
            <v>Đại học</v>
          </cell>
          <cell r="J85">
            <v>40313</v>
          </cell>
          <cell r="K85">
            <v>40313</v>
          </cell>
        </row>
        <row r="86">
          <cell r="B86" t="str">
            <v>Bùi Doãn Thiện</v>
          </cell>
          <cell r="C86" t="str">
            <v>Ban Quản lý nhà</v>
          </cell>
          <cell r="D86" t="str">
            <v>NV Bảo vệ khu Quang Minh</v>
          </cell>
          <cell r="E86" t="str">
            <v>NV Bảo vệ</v>
          </cell>
          <cell r="F86" t="str">
            <v>GT</v>
          </cell>
          <cell r="G86" t="str">
            <v>GT</v>
          </cell>
          <cell r="H86" t="str">
            <v>Đại học</v>
          </cell>
          <cell r="J86">
            <v>37995</v>
          </cell>
          <cell r="K86">
            <v>37995</v>
          </cell>
        </row>
        <row r="87">
          <cell r="B87" t="str">
            <v>Nguyễn Văn Tụ</v>
          </cell>
          <cell r="C87" t="str">
            <v>Ban Quản lý nhà</v>
          </cell>
          <cell r="D87" t="str">
            <v>NV Bảo vệ khu Quang Minh</v>
          </cell>
          <cell r="E87" t="str">
            <v>NV Bảo vệ</v>
          </cell>
          <cell r="F87" t="str">
            <v>GT</v>
          </cell>
          <cell r="G87" t="str">
            <v>GT</v>
          </cell>
          <cell r="H87" t="str">
            <v>Đại học</v>
          </cell>
          <cell r="J87">
            <v>39090</v>
          </cell>
          <cell r="K87">
            <v>39090</v>
          </cell>
        </row>
        <row r="88">
          <cell r="B88" t="str">
            <v>Hạ Văn Thành</v>
          </cell>
          <cell r="C88" t="str">
            <v>Ban Quản lý nhà</v>
          </cell>
          <cell r="D88" t="str">
            <v>NV Bảo vệ khu Quang Minh</v>
          </cell>
          <cell r="E88" t="str">
            <v>NV Bảo vệ</v>
          </cell>
          <cell r="F88" t="str">
            <v>GT</v>
          </cell>
          <cell r="G88" t="str">
            <v>GT</v>
          </cell>
          <cell r="H88" t="str">
            <v>Đại học</v>
          </cell>
          <cell r="J88">
            <v>39736</v>
          </cell>
          <cell r="K88">
            <v>39736</v>
          </cell>
        </row>
        <row r="89">
          <cell r="B89" t="str">
            <v>Nguyễn Văn Bẩy</v>
          </cell>
          <cell r="C89" t="str">
            <v>Ban Quản lý nhà</v>
          </cell>
          <cell r="D89" t="str">
            <v>NV Bảo vệ khu Quang Minh</v>
          </cell>
          <cell r="E89" t="str">
            <v>NV Bảo vệ</v>
          </cell>
          <cell r="F89" t="str">
            <v>GT</v>
          </cell>
          <cell r="G89" t="str">
            <v>GT</v>
          </cell>
          <cell r="H89" t="str">
            <v>Đại học</v>
          </cell>
          <cell r="J89">
            <v>39736</v>
          </cell>
          <cell r="K89">
            <v>39736</v>
          </cell>
        </row>
        <row r="90">
          <cell r="B90" t="str">
            <v>Vũ Văn Mạnh</v>
          </cell>
          <cell r="C90" t="str">
            <v>Ban Quản lý nhà</v>
          </cell>
          <cell r="D90" t="str">
            <v>NV Bảo vệ khu Quang Minh KT</v>
          </cell>
          <cell r="E90" t="str">
            <v>NV Bảo vệ</v>
          </cell>
          <cell r="F90" t="str">
            <v>GT</v>
          </cell>
          <cell r="G90" t="str">
            <v>GT</v>
          </cell>
          <cell r="H90" t="str">
            <v>Đại học</v>
          </cell>
          <cell r="J90">
            <v>40181</v>
          </cell>
          <cell r="K90">
            <v>40181</v>
          </cell>
        </row>
        <row r="91">
          <cell r="B91" t="str">
            <v>Phạm Thanh Hùng</v>
          </cell>
          <cell r="C91" t="str">
            <v>Ban quản lý dự án 25</v>
          </cell>
          <cell r="D91" t="str">
            <v>Trưởng ban QLDA</v>
          </cell>
          <cell r="E91" t="str">
            <v>Trưởng ban QLDA</v>
          </cell>
          <cell r="F91" t="str">
            <v>GT</v>
          </cell>
          <cell r="G91" t="str">
            <v>GT</v>
          </cell>
          <cell r="H91" t="str">
            <v>Đại học</v>
          </cell>
          <cell r="J91">
            <v>36903</v>
          </cell>
          <cell r="K91">
            <v>40364</v>
          </cell>
        </row>
        <row r="92">
          <cell r="B92" t="str">
            <v>Vũ Trọng Long</v>
          </cell>
          <cell r="C92" t="str">
            <v>Ban quản lý dự án 25</v>
          </cell>
          <cell r="D92" t="str">
            <v>Phó ban QLDA</v>
          </cell>
          <cell r="E92" t="str">
            <v>Phó ban QLDA</v>
          </cell>
          <cell r="F92" t="str">
            <v>GT</v>
          </cell>
          <cell r="G92" t="str">
            <v>GT</v>
          </cell>
          <cell r="H92" t="str">
            <v>Đại học</v>
          </cell>
          <cell r="J92">
            <v>39542</v>
          </cell>
          <cell r="K92" t="str">
            <v>15/8/2009</v>
          </cell>
        </row>
        <row r="93">
          <cell r="B93" t="str">
            <v>Nguyễn Thị Thuyên</v>
          </cell>
          <cell r="C93" t="str">
            <v>Ban quản lý dự án 25</v>
          </cell>
          <cell r="D93" t="str">
            <v>NV hành chính tổng hợp</v>
          </cell>
          <cell r="E93" t="str">
            <v>NV Hành chính tổng hợp</v>
          </cell>
          <cell r="F93" t="str">
            <v>GT</v>
          </cell>
          <cell r="G93" t="str">
            <v>GT</v>
          </cell>
          <cell r="H93" t="str">
            <v>Đại học</v>
          </cell>
          <cell r="J93">
            <v>38718</v>
          </cell>
          <cell r="K93">
            <v>38718</v>
          </cell>
        </row>
        <row r="94">
          <cell r="B94" t="str">
            <v>Dương Quốc Hùng</v>
          </cell>
          <cell r="C94" t="str">
            <v>Ban quản lý dự án 25</v>
          </cell>
          <cell r="D94" t="str">
            <v>NV quản lý chất lượng và tiến độ</v>
          </cell>
          <cell r="E94" t="str">
            <v>NV Quản lý chất lượng và tiến độ</v>
          </cell>
          <cell r="F94" t="str">
            <v>GT</v>
          </cell>
          <cell r="G94" t="str">
            <v>GT</v>
          </cell>
          <cell r="H94" t="str">
            <v>Đại học</v>
          </cell>
          <cell r="J94">
            <v>40406</v>
          </cell>
          <cell r="K94">
            <v>40406</v>
          </cell>
        </row>
        <row r="95">
          <cell r="B95" t="str">
            <v>Vũ Đình Thắng</v>
          </cell>
          <cell r="C95" t="str">
            <v>Ban quản lý dự án 25</v>
          </cell>
          <cell r="D95" t="str">
            <v>NV quản lý chất lượng và tiến độ</v>
          </cell>
          <cell r="E95" t="str">
            <v>NV Quản lý chất lượng và tiến độ</v>
          </cell>
          <cell r="F95" t="str">
            <v>GT</v>
          </cell>
          <cell r="G95" t="str">
            <v>GT</v>
          </cell>
          <cell r="H95" t="str">
            <v>Đại học</v>
          </cell>
          <cell r="J95">
            <v>39309</v>
          </cell>
          <cell r="K95">
            <v>39309</v>
          </cell>
        </row>
      </sheetData>
      <sheetData sheetId="4" refreshError="1">
        <row r="2">
          <cell r="B2" t="str">
            <v>Tổng Giám đốc</v>
          </cell>
          <cell r="C2">
            <v>4.4782608695652177</v>
          </cell>
        </row>
        <row r="3">
          <cell r="B3" t="str">
            <v>Phó TGĐ tài chính đầu tư</v>
          </cell>
          <cell r="C3">
            <v>4.2608695652173916</v>
          </cell>
        </row>
        <row r="4">
          <cell r="B4" t="str">
            <v>Phó TGĐ Xây lắp</v>
          </cell>
          <cell r="C4">
            <v>4.4285714285714288</v>
          </cell>
        </row>
        <row r="5">
          <cell r="B5" t="str">
            <v>Phó TGĐ Đầu tư &amp; QLDA</v>
          </cell>
          <cell r="C5">
            <v>4.2608695652173916</v>
          </cell>
        </row>
        <row r="6">
          <cell r="B6" t="str">
            <v>Trưởng phòng Tổng hợp</v>
          </cell>
          <cell r="C6">
            <v>3.7727272727272729</v>
          </cell>
        </row>
        <row r="7">
          <cell r="B7" t="str">
            <v>Phó phòng Tổng hợp</v>
          </cell>
          <cell r="C7">
            <v>3.5263157894736841</v>
          </cell>
        </row>
        <row r="8">
          <cell r="B8" t="str">
            <v>NV Thẩm định đầu tư</v>
          </cell>
          <cell r="C8">
            <v>2.8823529411764706</v>
          </cell>
        </row>
        <row r="9">
          <cell r="B9" t="str">
            <v>NV Truyền thông</v>
          </cell>
          <cell r="C9">
            <v>2.9375</v>
          </cell>
        </row>
        <row r="10">
          <cell r="B10" t="str">
            <v>NV Tổng hợp thông tin</v>
          </cell>
          <cell r="C10">
            <v>3.0625</v>
          </cell>
        </row>
        <row r="11">
          <cell r="B11" t="str">
            <v>Kế toán trưởng</v>
          </cell>
          <cell r="C11">
            <v>4.0999999999999996</v>
          </cell>
        </row>
        <row r="12">
          <cell r="B12" t="str">
            <v>Phó phòng TCKT - Nghiệp vụ Kế toán</v>
          </cell>
          <cell r="C12">
            <v>3.5625</v>
          </cell>
        </row>
        <row r="13">
          <cell r="B13" t="str">
            <v>Phó phòng TCKT - Tài chính</v>
          </cell>
          <cell r="C13">
            <v>3.5</v>
          </cell>
        </row>
        <row r="14">
          <cell r="B14" t="str">
            <v>KT Ngân hàng</v>
          </cell>
          <cell r="C14">
            <v>3.1875</v>
          </cell>
        </row>
        <row r="15">
          <cell r="B15" t="str">
            <v>KT Thanh toán</v>
          </cell>
          <cell r="C15">
            <v>3.0625</v>
          </cell>
        </row>
        <row r="16">
          <cell r="B16" t="str">
            <v>KT kho quỹ, TS, lương, Bảo hiểm</v>
          </cell>
          <cell r="C16">
            <v>3.125</v>
          </cell>
        </row>
        <row r="17">
          <cell r="B17" t="str">
            <v>Trưởng phòng Kinh tế Kỹ thuật</v>
          </cell>
          <cell r="C17">
            <v>4.3478260869565215</v>
          </cell>
        </row>
        <row r="18">
          <cell r="B18" t="str">
            <v>Phó phòng Kinh tế Kỹ thuật</v>
          </cell>
          <cell r="C18">
            <v>3.7142857142857144</v>
          </cell>
        </row>
        <row r="19">
          <cell r="B19" t="str">
            <v>NV Tiếp thị đấu thầu</v>
          </cell>
          <cell r="C19">
            <v>3.5555555555555554</v>
          </cell>
        </row>
        <row r="20">
          <cell r="B20" t="str">
            <v>NV Thống kê kế hoạch</v>
          </cell>
          <cell r="C20">
            <v>2.7777777777777777</v>
          </cell>
        </row>
        <row r="21">
          <cell r="B21" t="str">
            <v>NV Quản lý Kỹ thuật Thi công</v>
          </cell>
          <cell r="C21">
            <v>2.8888888888888888</v>
          </cell>
        </row>
        <row r="22">
          <cell r="B22" t="str">
            <v>NV Kinh tế dự toán &amp; quản lý hợp đồng</v>
          </cell>
          <cell r="C22">
            <v>3.1666666666666665</v>
          </cell>
        </row>
        <row r="23">
          <cell r="B23" t="str">
            <v>Trưởng phòng Thiết bị Công nghệ</v>
          </cell>
          <cell r="C23">
            <v>3.92</v>
          </cell>
        </row>
        <row r="24">
          <cell r="B24" t="str">
            <v>NV Quản lý Thiết bị Công nghệ</v>
          </cell>
          <cell r="C24">
            <v>3</v>
          </cell>
        </row>
        <row r="25">
          <cell r="B25" t="str">
            <v>NV Khai thác &amp; mua sắm TBCN</v>
          </cell>
          <cell r="C25">
            <v>3</v>
          </cell>
        </row>
        <row r="26">
          <cell r="B26" t="str">
            <v>Trưởng phòng Đầu tư</v>
          </cell>
          <cell r="C26">
            <v>3.9230769230769229</v>
          </cell>
        </row>
        <row r="27">
          <cell r="B27" t="str">
            <v>Phó phòng Đầu tư (THDT)</v>
          </cell>
          <cell r="C27">
            <v>3.4166666666666665</v>
          </cell>
        </row>
        <row r="28">
          <cell r="B28" t="str">
            <v>Phó phòng Đầu tư (CBDT)</v>
          </cell>
          <cell r="C28">
            <v>3.4583333333333335</v>
          </cell>
        </row>
        <row r="29">
          <cell r="B29" t="str">
            <v>NV Chuẩn bị đầu tư</v>
          </cell>
          <cell r="C29">
            <v>3.1176470588235294</v>
          </cell>
        </row>
        <row r="30">
          <cell r="B30" t="str">
            <v>NV Thực hiện đầu tư</v>
          </cell>
          <cell r="C30">
            <v>3</v>
          </cell>
        </row>
        <row r="31">
          <cell r="B31" t="str">
            <v>NV Kinh tế Đầu tư</v>
          </cell>
          <cell r="C31">
            <v>2.9375</v>
          </cell>
        </row>
        <row r="32">
          <cell r="B32" t="str">
            <v>NV Quản lý hồ sơ</v>
          </cell>
          <cell r="C32">
            <v>2.875</v>
          </cell>
        </row>
        <row r="33">
          <cell r="B33" t="str">
            <v>Trưởng phòng Tổ chức Hành chính</v>
          </cell>
          <cell r="C33">
            <v>3.7826086956521738</v>
          </cell>
        </row>
        <row r="34">
          <cell r="B34" t="str">
            <v>Phó phòng Tổ chức Hành chính</v>
          </cell>
          <cell r="C34">
            <v>3.1904761904761907</v>
          </cell>
        </row>
        <row r="35">
          <cell r="B35" t="str">
            <v>NV Văn thư</v>
          </cell>
          <cell r="C35">
            <v>2.1538461538461537</v>
          </cell>
        </row>
        <row r="36">
          <cell r="B36" t="str">
            <v>NV Quản trị hành chính, ATLĐ</v>
          </cell>
          <cell r="C36">
            <v>2.2666666666666666</v>
          </cell>
        </row>
        <row r="37">
          <cell r="B37" t="str">
            <v>Lái xe</v>
          </cell>
          <cell r="C37">
            <v>2.25</v>
          </cell>
        </row>
        <row r="38">
          <cell r="B38" t="str">
            <v>NV Công tác đoàn thể</v>
          </cell>
          <cell r="C38">
            <v>1.7777777777777777</v>
          </cell>
        </row>
        <row r="39">
          <cell r="B39" t="str">
            <v>NV Chế độ chính sách</v>
          </cell>
          <cell r="C39">
            <v>1.7777777777777777</v>
          </cell>
        </row>
        <row r="40">
          <cell r="B40" t="str">
            <v>Trưởng Ban quản lý Nhà</v>
          </cell>
          <cell r="C40">
            <v>1.5</v>
          </cell>
        </row>
        <row r="41">
          <cell r="B41" t="str">
            <v>Phó ban Quản lý Nhà</v>
          </cell>
          <cell r="C41">
            <v>3.92</v>
          </cell>
        </row>
        <row r="42">
          <cell r="B42" t="str">
            <v>NV Kinh doanh</v>
          </cell>
          <cell r="C42">
            <v>3.375</v>
          </cell>
        </row>
        <row r="43">
          <cell r="B43" t="str">
            <v>Kế toán BQL nhà</v>
          </cell>
          <cell r="C43">
            <v>2.5714285714285716</v>
          </cell>
        </row>
        <row r="44">
          <cell r="B44" t="str">
            <v>Thủ quỹ</v>
          </cell>
          <cell r="C44">
            <v>2.9444444444444446</v>
          </cell>
        </row>
        <row r="45">
          <cell r="B45" t="str">
            <v>NV Quản lý dịch vụ kỹ thuật</v>
          </cell>
          <cell r="C45">
            <v>2.8666666666666667</v>
          </cell>
        </row>
        <row r="46">
          <cell r="B46" t="str">
            <v>NV Bảo vệ</v>
          </cell>
          <cell r="C46">
            <v>2.9333333333333331</v>
          </cell>
        </row>
        <row r="47">
          <cell r="B47" t="str">
            <v>NV Vệ sinh</v>
          </cell>
          <cell r="C47">
            <v>2.9333333333333331</v>
          </cell>
        </row>
        <row r="48">
          <cell r="B48" t="str">
            <v>Tổ trưởng phụ trách VS</v>
          </cell>
          <cell r="C48">
            <v>2.6666666666666665</v>
          </cell>
        </row>
        <row r="49">
          <cell r="B49" t="str">
            <v>Tổ trưởng bảo vệ</v>
          </cell>
          <cell r="C49">
            <v>2.6666666666666665</v>
          </cell>
        </row>
        <row r="50">
          <cell r="B50" t="str">
            <v>Trưởng bộ phận kỹ thuật</v>
          </cell>
          <cell r="C50">
            <v>2.6666666666666665</v>
          </cell>
        </row>
        <row r="51">
          <cell r="B51" t="str">
            <v>Trưởng bộ phận kinh doanh</v>
          </cell>
          <cell r="C51">
            <v>3.1428571428571428</v>
          </cell>
        </row>
        <row r="52">
          <cell r="B52" t="str">
            <v>Trưởng ban QLDA</v>
          </cell>
          <cell r="C52">
            <v>3.84</v>
          </cell>
        </row>
        <row r="53">
          <cell r="B53" t="str">
            <v>Phó ban QLDA</v>
          </cell>
          <cell r="C53">
            <v>3.5416666666666665</v>
          </cell>
        </row>
        <row r="54">
          <cell r="B54" t="str">
            <v>NV Hành chính tổng hợp</v>
          </cell>
          <cell r="C54">
            <v>2.8666666666666667</v>
          </cell>
        </row>
        <row r="55">
          <cell r="B55" t="str">
            <v>NV Quản lý chất lượng và tiến độ</v>
          </cell>
          <cell r="C55">
            <v>3.1111111111111112</v>
          </cell>
        </row>
        <row r="56">
          <cell r="B56" t="str">
            <v>NV Phụ trách ATLD, VSLD</v>
          </cell>
          <cell r="C56">
            <v>3.1333333333333333</v>
          </cell>
        </row>
        <row r="57">
          <cell r="B57" t="str">
            <v>NV Quản lý trắc địa, thí nghiệm</v>
          </cell>
          <cell r="C57">
            <v>3.1333333333333333</v>
          </cell>
        </row>
        <row r="58">
          <cell r="B58" t="str">
            <v>NV Quản lý khối lượng và hoàn công</v>
          </cell>
          <cell r="C58">
            <v>3.1333333333333333</v>
          </cell>
        </row>
        <row r="59">
          <cell r="B59" t="str">
            <v>Bảo vệ</v>
          </cell>
          <cell r="C59">
            <v>2.93</v>
          </cell>
        </row>
      </sheetData>
      <sheetData sheetId="5" refreshError="1">
        <row r="5">
          <cell r="B5" t="str">
            <v>Bùi Đình Sơn</v>
          </cell>
          <cell r="C5" t="str">
            <v>Ban Giám đốc</v>
          </cell>
          <cell r="D5" t="str">
            <v>Tổng GĐ</v>
          </cell>
          <cell r="E5" t="str">
            <v>Tổng Giám đốc</v>
          </cell>
          <cell r="F5" t="str">
            <v>GT</v>
          </cell>
          <cell r="G5" t="str">
            <v>GT</v>
          </cell>
          <cell r="H5" t="str">
            <v>Đại học</v>
          </cell>
          <cell r="J5">
            <v>35805</v>
          </cell>
          <cell r="K5">
            <v>39146</v>
          </cell>
        </row>
        <row r="6">
          <cell r="B6" t="str">
            <v>Nguyễn Thanh Tú</v>
          </cell>
          <cell r="C6" t="str">
            <v>Ban Giám đốc</v>
          </cell>
          <cell r="D6" t="str">
            <v>Phó TGĐ tài chính đầu tư</v>
          </cell>
          <cell r="E6" t="str">
            <v>Phó TGĐ tài chính đầu tư</v>
          </cell>
          <cell r="F6" t="str">
            <v>GT</v>
          </cell>
          <cell r="G6" t="str">
            <v>GT</v>
          </cell>
          <cell r="H6" t="str">
            <v>Đại học</v>
          </cell>
          <cell r="I6" t="e">
            <v>#NAME?</v>
          </cell>
          <cell r="J6">
            <v>37633</v>
          </cell>
          <cell r="K6" t="str">
            <v>22/6/2010</v>
          </cell>
        </row>
        <row r="7">
          <cell r="B7" t="str">
            <v>Phạm Văn Thăng</v>
          </cell>
          <cell r="C7" t="str">
            <v>Ban Giám đốc</v>
          </cell>
          <cell r="D7" t="str">
            <v>Phó  TGĐ Xây lắp</v>
          </cell>
          <cell r="E7" t="str">
            <v>Phó TGĐ Xây lắp</v>
          </cell>
          <cell r="F7" t="str">
            <v>GT</v>
          </cell>
          <cell r="G7" t="str">
            <v>GT</v>
          </cell>
          <cell r="H7" t="str">
            <v>Đại học</v>
          </cell>
          <cell r="J7">
            <v>37626</v>
          </cell>
          <cell r="K7" t="str">
            <v>22/6/2010</v>
          </cell>
        </row>
        <row r="8">
          <cell r="B8" t="str">
            <v>Trần Thành Mai</v>
          </cell>
          <cell r="C8" t="str">
            <v>Ban Giám đốc</v>
          </cell>
          <cell r="D8" t="str">
            <v>Phó TGĐ đầu tư &amp; QLDA</v>
          </cell>
          <cell r="E8" t="str">
            <v>Phó TGĐ đầu tư &amp; QLDA</v>
          </cell>
          <cell r="F8" t="str">
            <v>GT</v>
          </cell>
          <cell r="G8" t="str">
            <v>GT</v>
          </cell>
          <cell r="H8" t="str">
            <v>Đại học</v>
          </cell>
          <cell r="J8">
            <v>32518</v>
          </cell>
          <cell r="K8" t="str">
            <v>19/7/2007</v>
          </cell>
        </row>
        <row r="9">
          <cell r="B9" t="str">
            <v>Trần Thị Vân Anh</v>
          </cell>
          <cell r="C9" t="str">
            <v>Phòng Tổng hợp</v>
          </cell>
          <cell r="D9" t="str">
            <v>Trưởng phòng Tổng hợp</v>
          </cell>
          <cell r="E9" t="str">
            <v>Trưởng phòng Tổng hợp</v>
          </cell>
          <cell r="F9" t="str">
            <v>GT</v>
          </cell>
          <cell r="G9" t="str">
            <v>GT</v>
          </cell>
          <cell r="H9" t="str">
            <v>Đại học</v>
          </cell>
          <cell r="J9">
            <v>39493</v>
          </cell>
          <cell r="K9" t="str">
            <v>22/6/2010</v>
          </cell>
        </row>
        <row r="10">
          <cell r="B10" t="str">
            <v>Dương Thị Phượng</v>
          </cell>
          <cell r="C10" t="str">
            <v>Phòng Tổng hợp</v>
          </cell>
          <cell r="D10" t="str">
            <v>Phó phòng Tổng hợp</v>
          </cell>
          <cell r="E10" t="str">
            <v>Phó phòng Tổng hợp</v>
          </cell>
          <cell r="F10" t="str">
            <v>GT</v>
          </cell>
          <cell r="G10" t="str">
            <v>GT</v>
          </cell>
          <cell r="H10" t="str">
            <v>Đại học</v>
          </cell>
          <cell r="J10">
            <v>35441</v>
          </cell>
          <cell r="K10">
            <v>40488</v>
          </cell>
        </row>
        <row r="11">
          <cell r="B11" t="str">
            <v>Lê Hữu Đăng</v>
          </cell>
          <cell r="C11" t="str">
            <v>Phòng Tổng hợp</v>
          </cell>
          <cell r="D11" t="str">
            <v>NV Thẩm định đầu tư</v>
          </cell>
          <cell r="E11" t="str">
            <v>NV Thẩm định đầu tư</v>
          </cell>
          <cell r="F11" t="str">
            <v>GT</v>
          </cell>
          <cell r="G11" t="str">
            <v>GT</v>
          </cell>
          <cell r="H11" t="str">
            <v>Đại học</v>
          </cell>
          <cell r="J11">
            <v>40045</v>
          </cell>
          <cell r="K11">
            <v>40045</v>
          </cell>
        </row>
        <row r="12">
          <cell r="B12" t="str">
            <v>Bùi Văn Tuyên</v>
          </cell>
          <cell r="C12" t="str">
            <v>Phòng Tổng hợp</v>
          </cell>
          <cell r="D12" t="str">
            <v>NV truyền thông</v>
          </cell>
          <cell r="E12" t="str">
            <v>NV Truyền thông</v>
          </cell>
          <cell r="F12" t="str">
            <v>GT</v>
          </cell>
          <cell r="G12" t="str">
            <v>GT</v>
          </cell>
          <cell r="H12" t="str">
            <v>Đại học</v>
          </cell>
          <cell r="J12">
            <v>39092</v>
          </cell>
          <cell r="K12">
            <v>39092</v>
          </cell>
        </row>
        <row r="13">
          <cell r="B13" t="str">
            <v>Hoàng Thị Hồng Nhung</v>
          </cell>
          <cell r="C13" t="str">
            <v>Phòng Tổng hợp</v>
          </cell>
          <cell r="D13" t="str">
            <v>NV tổng hợp thông tin</v>
          </cell>
          <cell r="E13" t="str">
            <v>NV Tổng hợp thông tin</v>
          </cell>
          <cell r="F13" t="str">
            <v>GT</v>
          </cell>
          <cell r="G13" t="str">
            <v>GT</v>
          </cell>
          <cell r="H13" t="str">
            <v>Đại học</v>
          </cell>
          <cell r="J13">
            <v>40112</v>
          </cell>
          <cell r="K13">
            <v>40112</v>
          </cell>
        </row>
        <row r="14">
          <cell r="B14" t="str">
            <v>Đào Hồng Anh</v>
          </cell>
          <cell r="C14" t="str">
            <v>Phòng Tổng hợp</v>
          </cell>
          <cell r="D14" t="str">
            <v>Thử việc</v>
          </cell>
          <cell r="E14" t="str">
            <v>NV Tổng hợp thông tin</v>
          </cell>
          <cell r="F14" t="str">
            <v>GT</v>
          </cell>
          <cell r="G14" t="str">
            <v>GT</v>
          </cell>
          <cell r="H14" t="str">
            <v>Đại học</v>
          </cell>
          <cell r="J14">
            <v>40188</v>
          </cell>
          <cell r="K14">
            <v>40188</v>
          </cell>
        </row>
        <row r="15">
          <cell r="B15" t="str">
            <v>Nguyễn Thị Thơm</v>
          </cell>
          <cell r="C15" t="str">
            <v>Phòng Kế toán</v>
          </cell>
          <cell r="D15" t="str">
            <v>Kế toán trưởng - Trưởng phòng TCKT</v>
          </cell>
          <cell r="E15" t="str">
            <v>Kế toán trưởng</v>
          </cell>
          <cell r="F15" t="str">
            <v>GT</v>
          </cell>
          <cell r="G15" t="str">
            <v>GT</v>
          </cell>
          <cell r="H15" t="str">
            <v>Đại học</v>
          </cell>
          <cell r="J15">
            <v>37988</v>
          </cell>
          <cell r="K15" t="str">
            <v>22/6/2010</v>
          </cell>
        </row>
        <row r="16">
          <cell r="B16" t="str">
            <v>Ngô Thị Mai Hương</v>
          </cell>
          <cell r="C16" t="str">
            <v>Phòng Kế toán</v>
          </cell>
          <cell r="D16" t="str">
            <v>Phó phòng TCKT - Nghiệp vụ Kế toán</v>
          </cell>
          <cell r="E16" t="str">
            <v>Phó phòng TCKT - Nghiệp vụ Kế toán</v>
          </cell>
          <cell r="F16" t="str">
            <v>GT</v>
          </cell>
          <cell r="G16" t="str">
            <v>GT</v>
          </cell>
          <cell r="H16" t="str">
            <v>Đại học</v>
          </cell>
          <cell r="J16">
            <v>37992</v>
          </cell>
          <cell r="K16">
            <v>40184</v>
          </cell>
        </row>
        <row r="17">
          <cell r="B17" t="str">
            <v>Trần Anh Hòa</v>
          </cell>
          <cell r="C17" t="str">
            <v>Phòng Kế toán</v>
          </cell>
          <cell r="D17" t="str">
            <v>Phó phòng TCKT - Tài chính</v>
          </cell>
          <cell r="E17" t="str">
            <v>Phó phòng TCKT - Tài chính</v>
          </cell>
          <cell r="F17" t="str">
            <v>GT</v>
          </cell>
          <cell r="G17" t="str">
            <v>GT</v>
          </cell>
          <cell r="H17" t="str">
            <v>Đại học</v>
          </cell>
          <cell r="J17">
            <v>37991</v>
          </cell>
          <cell r="K17" t="str">
            <v>18/4/2008</v>
          </cell>
        </row>
        <row r="18">
          <cell r="B18" t="str">
            <v>Phạm Thị Thu Phương</v>
          </cell>
          <cell r="C18" t="str">
            <v>Phòng Kế toán</v>
          </cell>
          <cell r="D18" t="str">
            <v>KT Thanh toán</v>
          </cell>
          <cell r="E18" t="str">
            <v>KT Thanh toán</v>
          </cell>
          <cell r="F18" t="str">
            <v>GT</v>
          </cell>
          <cell r="G18" t="str">
            <v>GT</v>
          </cell>
          <cell r="H18" t="str">
            <v>Đại học</v>
          </cell>
          <cell r="J18">
            <v>40231</v>
          </cell>
          <cell r="K18">
            <v>40231</v>
          </cell>
        </row>
        <row r="19">
          <cell r="B19" t="str">
            <v>Ưng Thị Phương Thúy</v>
          </cell>
          <cell r="C19" t="str">
            <v>Phòng Kế toán</v>
          </cell>
          <cell r="D19" t="str">
            <v>KT Ngân hàng</v>
          </cell>
          <cell r="E19" t="str">
            <v>KT Ngân hàng</v>
          </cell>
          <cell r="F19" t="str">
            <v>GT</v>
          </cell>
          <cell r="G19" t="str">
            <v>GT</v>
          </cell>
          <cell r="H19" t="str">
            <v>Đại học</v>
          </cell>
          <cell r="J19">
            <v>40185</v>
          </cell>
          <cell r="K19">
            <v>40185</v>
          </cell>
        </row>
        <row r="20">
          <cell r="B20" t="str">
            <v>Lại Thị Thơ</v>
          </cell>
          <cell r="C20" t="str">
            <v>Phòng Kế toán</v>
          </cell>
          <cell r="D20" t="str">
            <v>KT kho quỹ, TS, lương, Bảo hiểm</v>
          </cell>
          <cell r="E20" t="str">
            <v>KT kho quỹ, TS, lương, Bảo hiểm</v>
          </cell>
          <cell r="F20" t="str">
            <v>GT</v>
          </cell>
          <cell r="G20" t="str">
            <v>GT</v>
          </cell>
          <cell r="H20" t="str">
            <v>Đại học</v>
          </cell>
          <cell r="J20">
            <v>38359</v>
          </cell>
          <cell r="K20">
            <v>38359</v>
          </cell>
        </row>
        <row r="21">
          <cell r="B21" t="str">
            <v>Trần Quang Huy</v>
          </cell>
          <cell r="C21" t="str">
            <v>Phòng Kinh tế kỹ thuật</v>
          </cell>
          <cell r="D21" t="str">
            <v>Trưởng phòng Kinh tế Kỹ thuật</v>
          </cell>
          <cell r="E21" t="str">
            <v>Trưởng phòng Kinh tế Kỹ thuật</v>
          </cell>
          <cell r="F21" t="str">
            <v>GT</v>
          </cell>
          <cell r="G21" t="str">
            <v>GT</v>
          </cell>
          <cell r="H21" t="str">
            <v>Đại học</v>
          </cell>
          <cell r="J21">
            <v>35069</v>
          </cell>
          <cell r="K21" t="str">
            <v>24/3/2010</v>
          </cell>
        </row>
        <row r="22">
          <cell r="B22" t="str">
            <v>Cao Xuân Thắng</v>
          </cell>
          <cell r="C22" t="str">
            <v>Phòng Kinh tế kỹ thuật</v>
          </cell>
          <cell r="D22" t="str">
            <v>Phó phòng Kinh tế Kỹ thuật</v>
          </cell>
          <cell r="E22" t="str">
            <v>Phó phòng Kinh tế Kỹ thuật</v>
          </cell>
          <cell r="F22" t="str">
            <v>GT</v>
          </cell>
          <cell r="G22" t="str">
            <v>GT</v>
          </cell>
          <cell r="H22" t="str">
            <v>Đại học</v>
          </cell>
          <cell r="J22">
            <v>39310</v>
          </cell>
          <cell r="K22">
            <v>40182</v>
          </cell>
        </row>
        <row r="23">
          <cell r="B23" t="str">
            <v>Đinh Thị Kim Anh</v>
          </cell>
          <cell r="C23" t="str">
            <v>Phòng Kinh tế kỹ thuật</v>
          </cell>
          <cell r="D23" t="str">
            <v>NV Tiếp thị đấu thầu</v>
          </cell>
          <cell r="E23" t="str">
            <v>NV Tiếp thị đấu thầu</v>
          </cell>
          <cell r="F23" t="str">
            <v>GT</v>
          </cell>
          <cell r="G23" t="str">
            <v>GT</v>
          </cell>
          <cell r="H23" t="str">
            <v>Đại học</v>
          </cell>
          <cell r="J23">
            <v>40179</v>
          </cell>
          <cell r="K23">
            <v>40179</v>
          </cell>
        </row>
        <row r="24">
          <cell r="B24" t="str">
            <v>Nguyễn Thị Lan</v>
          </cell>
          <cell r="C24" t="str">
            <v>Phòng Kinh tế kỹ thuật</v>
          </cell>
          <cell r="D24" t="str">
            <v>NV Thống kê kế hoạch</v>
          </cell>
          <cell r="E24" t="str">
            <v>NV Thống kê kế hoạch</v>
          </cell>
          <cell r="F24" t="str">
            <v>GT</v>
          </cell>
          <cell r="G24" t="str">
            <v>GT</v>
          </cell>
          <cell r="H24" t="str">
            <v>Đại học</v>
          </cell>
          <cell r="J24">
            <v>37998</v>
          </cell>
          <cell r="K24">
            <v>37998</v>
          </cell>
        </row>
        <row r="25">
          <cell r="B25" t="str">
            <v>Đỗ Việt Thắng</v>
          </cell>
          <cell r="C25" t="str">
            <v>Phòng Kinh tế kỹ thuật</v>
          </cell>
          <cell r="D25" t="str">
            <v>NV Quản lý Kỹ thuật Thi công</v>
          </cell>
          <cell r="E25" t="str">
            <v>NV Quản lý Kỹ thuật Thi công</v>
          </cell>
          <cell r="F25" t="str">
            <v>GT</v>
          </cell>
          <cell r="G25" t="str">
            <v>GT</v>
          </cell>
          <cell r="H25" t="str">
            <v>Đại học</v>
          </cell>
          <cell r="J25">
            <v>39399</v>
          </cell>
          <cell r="K25">
            <v>39399</v>
          </cell>
        </row>
        <row r="26">
          <cell r="B26" t="str">
            <v>Nguyễn Khánh Linh</v>
          </cell>
          <cell r="C26" t="str">
            <v>Phòng Kinh tế kỹ thuật</v>
          </cell>
          <cell r="D26" t="str">
            <v>NV Kinh tế dự toán &amp; quản lý hợp đồng</v>
          </cell>
          <cell r="E26" t="str">
            <v>NV Kinh tế dự toán &amp; quản lý hợp đồng</v>
          </cell>
          <cell r="F26" t="str">
            <v>GT</v>
          </cell>
          <cell r="G26" t="str">
            <v>GT</v>
          </cell>
          <cell r="H26" t="str">
            <v>Đại học</v>
          </cell>
          <cell r="J26">
            <v>39459</v>
          </cell>
          <cell r="K26">
            <v>39459</v>
          </cell>
        </row>
        <row r="27">
          <cell r="B27" t="str">
            <v>Nguyễn Tất Thắng</v>
          </cell>
          <cell r="C27" t="str">
            <v>Phòng Thiết bị Công nghệ</v>
          </cell>
          <cell r="D27" t="str">
            <v>Trưởng phòng Thiết bị Công nghệ</v>
          </cell>
          <cell r="E27" t="str">
            <v>Trưởng phòng Thiết bị Công nghệ</v>
          </cell>
          <cell r="F27" t="str">
            <v>GT</v>
          </cell>
          <cell r="G27" t="str">
            <v>GT</v>
          </cell>
          <cell r="H27" t="str">
            <v>Đại học</v>
          </cell>
          <cell r="J27">
            <v>33970</v>
          </cell>
          <cell r="K27">
            <v>38631</v>
          </cell>
        </row>
        <row r="28">
          <cell r="B28" t="str">
            <v>Phạm Hữu Phước</v>
          </cell>
          <cell r="C28" t="str">
            <v>Phòng Thiết bị Công nghệ</v>
          </cell>
          <cell r="D28" t="str">
            <v>NV Quản lý Thiết bị Công nghệ</v>
          </cell>
          <cell r="E28" t="str">
            <v>NV Khai thác &amp; mua sắm TBCN</v>
          </cell>
          <cell r="F28" t="str">
            <v>GT</v>
          </cell>
          <cell r="G28" t="str">
            <v>GT</v>
          </cell>
          <cell r="H28" t="str">
            <v>Đại học</v>
          </cell>
          <cell r="J28">
            <v>37992</v>
          </cell>
          <cell r="K28">
            <v>37992</v>
          </cell>
        </row>
        <row r="29">
          <cell r="B29" t="str">
            <v>Phạm Thuyên</v>
          </cell>
          <cell r="C29" t="str">
            <v>Phòng Đầu tư</v>
          </cell>
          <cell r="D29" t="str">
            <v>Trưởng phòng Đầu tư</v>
          </cell>
          <cell r="E29" t="str">
            <v>Trưởng phòng Đầu tư</v>
          </cell>
          <cell r="F29" t="str">
            <v>GT</v>
          </cell>
          <cell r="G29" t="str">
            <v>GT</v>
          </cell>
          <cell r="H29" t="str">
            <v>Đại học</v>
          </cell>
          <cell r="J29">
            <v>38361</v>
          </cell>
          <cell r="K29" t="str">
            <v>22/6/2010</v>
          </cell>
        </row>
        <row r="30">
          <cell r="B30" t="str">
            <v>Nguyễn Đình Nghĩa</v>
          </cell>
          <cell r="C30" t="str">
            <v>Phòng Đầu tư</v>
          </cell>
          <cell r="D30" t="str">
            <v>Phó phòng Đầu tư - BĐS</v>
          </cell>
          <cell r="E30" t="str">
            <v>Phó phòng Đầu tư (THDT)</v>
          </cell>
          <cell r="F30" t="str">
            <v>GT</v>
          </cell>
          <cell r="G30" t="str">
            <v>GT</v>
          </cell>
          <cell r="H30" t="str">
            <v>Đại học</v>
          </cell>
          <cell r="J30">
            <v>37633</v>
          </cell>
          <cell r="K30">
            <v>40185</v>
          </cell>
        </row>
        <row r="31">
          <cell r="B31" t="str">
            <v>Nguyễn Văn Tâm</v>
          </cell>
          <cell r="C31" t="str">
            <v>Phòng Đầu tư</v>
          </cell>
          <cell r="D31" t="str">
            <v>Phó phòng Đầu tư - KS &amp; Vật liệu</v>
          </cell>
          <cell r="E31" t="str">
            <v>Phó phòng Đầu tư (CBDT)</v>
          </cell>
          <cell r="F31" t="str">
            <v>GT</v>
          </cell>
          <cell r="G31" t="str">
            <v>GT</v>
          </cell>
          <cell r="H31" t="str">
            <v>Đại học</v>
          </cell>
          <cell r="J31">
            <v>38764</v>
          </cell>
          <cell r="K31">
            <v>39821</v>
          </cell>
        </row>
        <row r="32">
          <cell r="B32" t="str">
            <v>Nguyễn Hoàng</v>
          </cell>
          <cell r="C32" t="str">
            <v>Phòng Đầu tư</v>
          </cell>
          <cell r="D32" t="str">
            <v>NV Quy hoạch kiến trúc</v>
          </cell>
          <cell r="E32" t="str">
            <v>NV Quy hoạch kiến trúc</v>
          </cell>
          <cell r="F32" t="str">
            <v>GT</v>
          </cell>
          <cell r="G32" t="str">
            <v>GT</v>
          </cell>
          <cell r="H32" t="str">
            <v>Đại học</v>
          </cell>
          <cell r="J32">
            <v>40042</v>
          </cell>
          <cell r="K32">
            <v>40042</v>
          </cell>
        </row>
        <row r="33">
          <cell r="B33" t="str">
            <v>Nguyễn Khánh Trường</v>
          </cell>
          <cell r="C33" t="str">
            <v>Phòng Đầu tư</v>
          </cell>
          <cell r="D33" t="str">
            <v>NV Quản lý Xây dựng</v>
          </cell>
          <cell r="E33" t="str">
            <v>NV Quản lý Xây dựng</v>
          </cell>
          <cell r="F33" t="str">
            <v>GT</v>
          </cell>
          <cell r="G33" t="str">
            <v>GT</v>
          </cell>
          <cell r="H33" t="str">
            <v>Đại học</v>
          </cell>
          <cell r="J33">
            <v>40315</v>
          </cell>
          <cell r="K33">
            <v>40315</v>
          </cell>
        </row>
        <row r="34">
          <cell r="B34" t="str">
            <v>Đặng Ngọc Sơn</v>
          </cell>
          <cell r="C34" t="str">
            <v>Phòng Đầu tư</v>
          </cell>
          <cell r="D34" t="str">
            <v>NV Kinh tế Đầu tư</v>
          </cell>
          <cell r="E34" t="str">
            <v>NV Kinh tế Đầu tư</v>
          </cell>
          <cell r="F34" t="str">
            <v>GT</v>
          </cell>
          <cell r="G34" t="str">
            <v>GT</v>
          </cell>
          <cell r="H34" t="str">
            <v>Đại học</v>
          </cell>
          <cell r="J34">
            <v>40459</v>
          </cell>
          <cell r="K34">
            <v>40459</v>
          </cell>
        </row>
        <row r="35">
          <cell r="B35" t="str">
            <v>Đinh Thị Thúy Hường</v>
          </cell>
          <cell r="C35" t="str">
            <v>Phòng Đầu tư</v>
          </cell>
          <cell r="D35" t="str">
            <v>NV quản lý hồ sơ</v>
          </cell>
          <cell r="E35" t="str">
            <v>NV Quản lý hồ sơ</v>
          </cell>
          <cell r="F35" t="str">
            <v>GT</v>
          </cell>
          <cell r="G35" t="str">
            <v>GT</v>
          </cell>
          <cell r="H35" t="str">
            <v>Đại học</v>
          </cell>
          <cell r="J35">
            <v>39701</v>
          </cell>
          <cell r="K35">
            <v>39701</v>
          </cell>
        </row>
        <row r="36">
          <cell r="B36" t="str">
            <v>Nguyễn Văn Điềm</v>
          </cell>
          <cell r="C36" t="str">
            <v>Phòng Hành chính Nhân sự</v>
          </cell>
          <cell r="D36" t="str">
            <v>Trưởng phòng Tổ chức Hành chính</v>
          </cell>
          <cell r="E36" t="str">
            <v>Trưởng phòng Tổ chức Hành chính</v>
          </cell>
          <cell r="F36" t="str">
            <v>GT</v>
          </cell>
          <cell r="G36" t="str">
            <v>GT</v>
          </cell>
          <cell r="H36" t="str">
            <v>Đại học</v>
          </cell>
          <cell r="J36">
            <v>30317</v>
          </cell>
          <cell r="K36">
            <v>38631</v>
          </cell>
        </row>
        <row r="37">
          <cell r="B37" t="str">
            <v>Phạm Thị Hà</v>
          </cell>
          <cell r="C37" t="str">
            <v>Phòng Hành chính Nhân sự</v>
          </cell>
          <cell r="D37" t="str">
            <v>Phó phòng Tổ chức Hành chính</v>
          </cell>
          <cell r="E37" t="str">
            <v>Phó phòng Tổ chức Hành chính</v>
          </cell>
          <cell r="F37" t="str">
            <v>GT</v>
          </cell>
          <cell r="G37" t="str">
            <v>GT</v>
          </cell>
          <cell r="H37" t="str">
            <v>Đại học</v>
          </cell>
          <cell r="J37">
            <v>29952</v>
          </cell>
          <cell r="K37">
            <v>38631</v>
          </cell>
        </row>
        <row r="38">
          <cell r="B38" t="str">
            <v>Hoàng Thị Thùy Trang</v>
          </cell>
          <cell r="C38" t="str">
            <v>Phòng Hành chính Nhân sự</v>
          </cell>
          <cell r="D38" t="str">
            <v>NV Văn thư</v>
          </cell>
          <cell r="E38" t="str">
            <v>NV Văn thư</v>
          </cell>
          <cell r="F38" t="str">
            <v>GT</v>
          </cell>
          <cell r="G38" t="str">
            <v>GT</v>
          </cell>
          <cell r="H38" t="str">
            <v>Đại học</v>
          </cell>
          <cell r="J38">
            <v>37990</v>
          </cell>
          <cell r="K38">
            <v>37990</v>
          </cell>
        </row>
        <row r="39">
          <cell r="B39" t="str">
            <v>Trịnh Minh Hoan</v>
          </cell>
          <cell r="C39" t="str">
            <v>Phòng Hành chính Nhân sự</v>
          </cell>
          <cell r="D39" t="str">
            <v>NV quản trị hành chính, ATLĐ</v>
          </cell>
          <cell r="E39" t="str">
            <v>NV Quản trị hành chính, ATLĐ</v>
          </cell>
          <cell r="F39" t="str">
            <v>GT</v>
          </cell>
          <cell r="G39" t="str">
            <v>GT</v>
          </cell>
          <cell r="H39" t="str">
            <v>Đại học</v>
          </cell>
          <cell r="J39">
            <v>33974</v>
          </cell>
          <cell r="K39">
            <v>33974</v>
          </cell>
        </row>
        <row r="40">
          <cell r="B40" t="str">
            <v>Vũ Thị Nga</v>
          </cell>
          <cell r="C40" t="str">
            <v>Phòng Hành chính Nhân sự</v>
          </cell>
          <cell r="D40" t="str">
            <v>Nhân viên BHXH, công đoàn</v>
          </cell>
          <cell r="E40" t="str">
            <v>DHCN</v>
          </cell>
          <cell r="F40" t="str">
            <v>GT</v>
          </cell>
          <cell r="G40" t="str">
            <v>GT</v>
          </cell>
          <cell r="H40" t="str">
            <v>Đại học</v>
          </cell>
          <cell r="J40">
            <v>39091</v>
          </cell>
          <cell r="K40">
            <v>39091</v>
          </cell>
        </row>
        <row r="41">
          <cell r="B41" t="str">
            <v>Nguyễn Văn Hùng</v>
          </cell>
          <cell r="C41" t="str">
            <v>Phòng Hành chính Nhân sự</v>
          </cell>
          <cell r="D41" t="str">
            <v>Lái xe con cho CT HĐQT</v>
          </cell>
          <cell r="E41" t="str">
            <v>Lái xe</v>
          </cell>
          <cell r="F41" t="str">
            <v>GT</v>
          </cell>
          <cell r="G41" t="str">
            <v>GT</v>
          </cell>
          <cell r="H41" t="str">
            <v>Đại học</v>
          </cell>
          <cell r="J41">
            <v>29596</v>
          </cell>
          <cell r="K41">
            <v>29596</v>
          </cell>
        </row>
        <row r="42">
          <cell r="B42" t="str">
            <v>Nguyễn Văn Trung</v>
          </cell>
          <cell r="C42" t="str">
            <v>Phòng Hành chính Nhân sự</v>
          </cell>
          <cell r="D42" t="str">
            <v>Lái xe con cho TGĐ</v>
          </cell>
          <cell r="E42" t="str">
            <v>Lái xe</v>
          </cell>
          <cell r="F42" t="str">
            <v>GT</v>
          </cell>
          <cell r="G42" t="str">
            <v>GT</v>
          </cell>
          <cell r="H42" t="str">
            <v>Đại học</v>
          </cell>
          <cell r="J42">
            <v>31787</v>
          </cell>
          <cell r="K42">
            <v>31787</v>
          </cell>
        </row>
        <row r="43">
          <cell r="B43" t="str">
            <v>Nguyễn Văn Khánh</v>
          </cell>
          <cell r="C43" t="str">
            <v>Phòng Hành chính Nhân sự</v>
          </cell>
          <cell r="D43" t="str">
            <v>Lái xe phục vụ các phòng, ban</v>
          </cell>
          <cell r="E43" t="str">
            <v>Lái xe</v>
          </cell>
          <cell r="F43" t="str">
            <v>GT</v>
          </cell>
          <cell r="G43" t="str">
            <v>GT</v>
          </cell>
          <cell r="H43" t="str">
            <v>Đại học</v>
          </cell>
          <cell r="J43">
            <v>32512</v>
          </cell>
          <cell r="K43">
            <v>32512</v>
          </cell>
        </row>
        <row r="44">
          <cell r="B44" t="str">
            <v>Hạ Văn Sự</v>
          </cell>
          <cell r="C44" t="str">
            <v>Phòng Hành chính Nhân sự</v>
          </cell>
          <cell r="D44" t="str">
            <v>Lái xe phục vụ các phòng, ban</v>
          </cell>
          <cell r="E44" t="str">
            <v>Lái xe</v>
          </cell>
          <cell r="F44" t="str">
            <v>GT</v>
          </cell>
          <cell r="G44" t="str">
            <v>GT</v>
          </cell>
          <cell r="H44" t="str">
            <v>Đại học</v>
          </cell>
          <cell r="J44">
            <v>32519</v>
          </cell>
          <cell r="K44">
            <v>32519</v>
          </cell>
        </row>
        <row r="45">
          <cell r="B45" t="str">
            <v>Phan Đăng Tiến</v>
          </cell>
          <cell r="C45" t="str">
            <v>Ban Quản lý nhà</v>
          </cell>
          <cell r="D45" t="str">
            <v>Trưởng Ban quản lý Nhà</v>
          </cell>
          <cell r="E45" t="str">
            <v>Trưởng Ban quản lý Nhà</v>
          </cell>
          <cell r="F45" t="str">
            <v>GT</v>
          </cell>
          <cell r="G45" t="str">
            <v>GT</v>
          </cell>
          <cell r="H45" t="str">
            <v>Đại học</v>
          </cell>
          <cell r="J45">
            <v>32151</v>
          </cell>
          <cell r="K45" t="str">
            <v>17/01/2008</v>
          </cell>
        </row>
        <row r="46">
          <cell r="B46" t="str">
            <v>Hoàng Duyến</v>
          </cell>
          <cell r="C46" t="str">
            <v>Ban Quản lý nhà</v>
          </cell>
          <cell r="D46" t="str">
            <v>Phó ban Quản lý Nhà</v>
          </cell>
          <cell r="E46" t="str">
            <v>Phó ban Quản lý Nhà</v>
          </cell>
          <cell r="F46" t="str">
            <v>GT</v>
          </cell>
          <cell r="G46" t="str">
            <v>GT</v>
          </cell>
          <cell r="H46" t="str">
            <v>Đại học</v>
          </cell>
          <cell r="J46">
            <v>39091</v>
          </cell>
          <cell r="K46">
            <v>39816</v>
          </cell>
        </row>
        <row r="47">
          <cell r="B47" t="str">
            <v>Trương Quang Tiến</v>
          </cell>
          <cell r="C47" t="str">
            <v>Ban Quản lý nhà</v>
          </cell>
          <cell r="D47" t="str">
            <v>NV kinh doanh</v>
          </cell>
          <cell r="E47" t="str">
            <v>NV Kinh doanh</v>
          </cell>
          <cell r="F47" t="str">
            <v>GT</v>
          </cell>
          <cell r="G47" t="str">
            <v>GT</v>
          </cell>
          <cell r="H47" t="str">
            <v>Đại học</v>
          </cell>
          <cell r="J47">
            <v>39091</v>
          </cell>
          <cell r="K47">
            <v>39091</v>
          </cell>
        </row>
        <row r="48">
          <cell r="B48" t="str">
            <v>Nguyễn Thị Thu Hiền (A)</v>
          </cell>
          <cell r="C48" t="str">
            <v>Ban Quản lý nhà</v>
          </cell>
          <cell r="D48" t="str">
            <v>NV kinh doanh</v>
          </cell>
          <cell r="E48" t="str">
            <v>NV Kinh doanh</v>
          </cell>
          <cell r="F48" t="str">
            <v>GT</v>
          </cell>
          <cell r="G48" t="str">
            <v>GT</v>
          </cell>
          <cell r="H48" t="str">
            <v>Đại học</v>
          </cell>
          <cell r="J48">
            <v>39093</v>
          </cell>
          <cell r="K48">
            <v>39093</v>
          </cell>
        </row>
        <row r="49">
          <cell r="B49" t="str">
            <v>Bùi Thị Loan</v>
          </cell>
          <cell r="C49" t="str">
            <v>Ban Quản lý nhà</v>
          </cell>
          <cell r="D49" t="str">
            <v>NV kinh doanh</v>
          </cell>
          <cell r="E49" t="str">
            <v>NV Kinh doanh</v>
          </cell>
          <cell r="F49" t="str">
            <v>GT</v>
          </cell>
          <cell r="G49" t="str">
            <v>GT</v>
          </cell>
          <cell r="H49" t="str">
            <v>Đại học</v>
          </cell>
          <cell r="J49">
            <v>38724</v>
          </cell>
          <cell r="K49">
            <v>38724</v>
          </cell>
        </row>
        <row r="50">
          <cell r="B50" t="str">
            <v>Nguyễn Hữu Sơn</v>
          </cell>
          <cell r="C50" t="str">
            <v>Ban Quản lý nhà</v>
          </cell>
          <cell r="D50" t="str">
            <v>Kế toán BQL nhà</v>
          </cell>
          <cell r="E50" t="str">
            <v>Kế toán BQL nhà</v>
          </cell>
          <cell r="F50" t="str">
            <v>GT</v>
          </cell>
          <cell r="G50" t="str">
            <v>GT</v>
          </cell>
          <cell r="H50" t="str">
            <v>Đại học</v>
          </cell>
          <cell r="J50">
            <v>27770</v>
          </cell>
          <cell r="K50">
            <v>27770</v>
          </cell>
        </row>
        <row r="51">
          <cell r="B51" t="str">
            <v>Nguyễn Thị Phương Lan</v>
          </cell>
          <cell r="C51" t="str">
            <v>Ban Quản lý nhà</v>
          </cell>
          <cell r="D51" t="str">
            <v>Thủ quỹ</v>
          </cell>
          <cell r="E51" t="str">
            <v>Thủ quỹ</v>
          </cell>
          <cell r="F51" t="str">
            <v>GT</v>
          </cell>
          <cell r="G51" t="str">
            <v>GT</v>
          </cell>
          <cell r="H51" t="str">
            <v>Đại học</v>
          </cell>
          <cell r="J51">
            <v>35434</v>
          </cell>
          <cell r="K51">
            <v>35434</v>
          </cell>
        </row>
        <row r="52">
          <cell r="B52" t="str">
            <v>Phạm Văn Mạnh</v>
          </cell>
          <cell r="C52" t="str">
            <v>Ban Quản lý nhà</v>
          </cell>
          <cell r="D52" t="str">
            <v>NV Quản lý dịch vụ kỹ thuật</v>
          </cell>
          <cell r="E52" t="str">
            <v>NV Quản lý dịch vụ kỹ thuật</v>
          </cell>
          <cell r="F52" t="str">
            <v>GT</v>
          </cell>
          <cell r="G52" t="str">
            <v>GT</v>
          </cell>
          <cell r="H52" t="str">
            <v>Đại học</v>
          </cell>
          <cell r="J52">
            <v>40149</v>
          </cell>
          <cell r="K52">
            <v>40149</v>
          </cell>
        </row>
        <row r="53">
          <cell r="B53" t="str">
            <v>Nguyễn Đình Hoài</v>
          </cell>
          <cell r="C53" t="str">
            <v>Ban Quản lý nhà</v>
          </cell>
          <cell r="D53" t="str">
            <v>NV Quản lý dịch vụ kỹ thuật</v>
          </cell>
          <cell r="E53" t="str">
            <v>NV Quản lý dịch vụ kỹ thuật</v>
          </cell>
          <cell r="F53" t="str">
            <v>GT</v>
          </cell>
          <cell r="G53" t="str">
            <v>GT</v>
          </cell>
          <cell r="H53" t="str">
            <v>Đại học</v>
          </cell>
          <cell r="J53">
            <v>40009</v>
          </cell>
          <cell r="K53">
            <v>40009</v>
          </cell>
        </row>
        <row r="54">
          <cell r="B54" t="str">
            <v>Nguyễn Ngọc Lân</v>
          </cell>
          <cell r="C54" t="str">
            <v>Ban Quản lý nhà</v>
          </cell>
          <cell r="D54" t="str">
            <v>NV Quản lý dịch vụ kỹ thuật</v>
          </cell>
          <cell r="E54" t="str">
            <v>NV Quản lý dịch vụ kỹ thuật</v>
          </cell>
          <cell r="F54" t="str">
            <v>GT</v>
          </cell>
          <cell r="G54" t="str">
            <v>GT</v>
          </cell>
          <cell r="H54" t="str">
            <v>Đại học</v>
          </cell>
          <cell r="J54">
            <v>39448</v>
          </cell>
          <cell r="K54">
            <v>39448</v>
          </cell>
        </row>
        <row r="55">
          <cell r="B55" t="str">
            <v>Vũ Thành Dũng</v>
          </cell>
          <cell r="C55" t="str">
            <v>Ban Quản lý nhà</v>
          </cell>
          <cell r="D55" t="str">
            <v>NV Quản lý dịch vụ kỹ thuật</v>
          </cell>
          <cell r="E55" t="str">
            <v>NV Quản lý dịch vụ kỹ thuật</v>
          </cell>
          <cell r="F55" t="str">
            <v>GT</v>
          </cell>
          <cell r="G55" t="str">
            <v>GT</v>
          </cell>
          <cell r="H55" t="str">
            <v>Đại học</v>
          </cell>
          <cell r="J55">
            <v>39093</v>
          </cell>
          <cell r="K55">
            <v>39093</v>
          </cell>
        </row>
        <row r="56">
          <cell r="B56" t="str">
            <v>Đặng Văn Vịnh</v>
          </cell>
          <cell r="C56" t="str">
            <v>Ban Quản lý nhà</v>
          </cell>
          <cell r="D56" t="str">
            <v>NV Quản lý dịch vụ kỹ thuật</v>
          </cell>
          <cell r="E56" t="str">
            <v>NV Quản lý dịch vụ kỹ thuật</v>
          </cell>
          <cell r="F56" t="str">
            <v>GT</v>
          </cell>
          <cell r="G56" t="str">
            <v>GT</v>
          </cell>
          <cell r="H56" t="str">
            <v>Đại học</v>
          </cell>
          <cell r="J56">
            <v>37992</v>
          </cell>
          <cell r="K56">
            <v>37992</v>
          </cell>
        </row>
        <row r="57">
          <cell r="B57" t="str">
            <v>Ngô Thị Nhẹ</v>
          </cell>
          <cell r="C57" t="str">
            <v>Ban Quản lý nhà</v>
          </cell>
          <cell r="D57" t="str">
            <v>NV Quản lý dịch vụ kỹ thuật</v>
          </cell>
          <cell r="E57" t="str">
            <v>NV Quản lý dịch vụ kỹ thuật</v>
          </cell>
          <cell r="F57" t="str">
            <v>GT</v>
          </cell>
          <cell r="G57" t="str">
            <v>GT</v>
          </cell>
          <cell r="H57" t="str">
            <v>Đại học</v>
          </cell>
          <cell r="J57">
            <v>35440</v>
          </cell>
          <cell r="K57">
            <v>35440</v>
          </cell>
        </row>
        <row r="58">
          <cell r="B58" t="str">
            <v>Lê Hồng Thái</v>
          </cell>
          <cell r="C58" t="str">
            <v>Ban Quản lý nhà</v>
          </cell>
          <cell r="D58" t="str">
            <v>NV Bảo vệ</v>
          </cell>
          <cell r="E58" t="str">
            <v>NV Bảo vệ</v>
          </cell>
          <cell r="F58" t="str">
            <v>GT</v>
          </cell>
          <cell r="G58" t="str">
            <v>GT</v>
          </cell>
          <cell r="H58" t="str">
            <v>Đại học</v>
          </cell>
          <cell r="J58">
            <v>30323</v>
          </cell>
          <cell r="K58">
            <v>30323</v>
          </cell>
        </row>
        <row r="59">
          <cell r="B59" t="str">
            <v>Ưng Sĩ Hùng</v>
          </cell>
          <cell r="C59" t="str">
            <v>Ban Quản lý nhà</v>
          </cell>
          <cell r="D59" t="str">
            <v>NV Bảo vệ</v>
          </cell>
          <cell r="E59" t="str">
            <v>NV Bảo vệ</v>
          </cell>
          <cell r="F59" t="str">
            <v>GT</v>
          </cell>
          <cell r="G59" t="str">
            <v>GT</v>
          </cell>
          <cell r="H59" t="str">
            <v>Đại học</v>
          </cell>
          <cell r="J59">
            <v>35796</v>
          </cell>
          <cell r="K59">
            <v>35796</v>
          </cell>
        </row>
        <row r="60">
          <cell r="B60" t="str">
            <v>Nguyễn Thanh Bình</v>
          </cell>
          <cell r="C60" t="str">
            <v>Ban Quản lý nhà</v>
          </cell>
          <cell r="D60" t="str">
            <v>NV Bảo vệ</v>
          </cell>
          <cell r="E60" t="str">
            <v>NV Bảo vệ</v>
          </cell>
          <cell r="F60" t="str">
            <v>GT</v>
          </cell>
          <cell r="G60" t="str">
            <v>GT</v>
          </cell>
          <cell r="H60" t="str">
            <v>Đại học</v>
          </cell>
          <cell r="J60">
            <v>38508</v>
          </cell>
          <cell r="K60">
            <v>38508</v>
          </cell>
        </row>
        <row r="61">
          <cell r="B61" t="str">
            <v>Khắc Minh Cường</v>
          </cell>
          <cell r="C61" t="str">
            <v>Ban Quản lý nhà</v>
          </cell>
          <cell r="D61" t="str">
            <v>NV Bảo vệ</v>
          </cell>
          <cell r="E61" t="str">
            <v>NV Bảo vệ</v>
          </cell>
          <cell r="F61" t="str">
            <v>GT</v>
          </cell>
          <cell r="G61" t="str">
            <v>GT</v>
          </cell>
          <cell r="H61" t="str">
            <v>Đại học</v>
          </cell>
          <cell r="J61">
            <v>37631</v>
          </cell>
          <cell r="K61">
            <v>37631</v>
          </cell>
        </row>
        <row r="62">
          <cell r="B62" t="str">
            <v>Phạm Quốc Hùng</v>
          </cell>
          <cell r="C62" t="str">
            <v>Ban Quản lý nhà</v>
          </cell>
          <cell r="D62" t="str">
            <v>NV Bảo vệ</v>
          </cell>
          <cell r="E62" t="str">
            <v>NV Bảo vệ</v>
          </cell>
          <cell r="F62" t="str">
            <v>GT</v>
          </cell>
          <cell r="G62" t="str">
            <v>GT</v>
          </cell>
          <cell r="H62" t="str">
            <v>Đại học</v>
          </cell>
          <cell r="J62">
            <v>37992</v>
          </cell>
          <cell r="K62">
            <v>37992</v>
          </cell>
        </row>
        <row r="63">
          <cell r="B63" t="str">
            <v>Hầu Vĩnh Thắng</v>
          </cell>
          <cell r="C63" t="str">
            <v>Ban Quản lý nhà</v>
          </cell>
          <cell r="D63" t="str">
            <v>NV Bảo vệ</v>
          </cell>
          <cell r="E63" t="str">
            <v>NV Bảo vệ</v>
          </cell>
          <cell r="F63" t="str">
            <v>GT</v>
          </cell>
          <cell r="G63" t="str">
            <v>GT</v>
          </cell>
          <cell r="H63" t="str">
            <v>Đại học</v>
          </cell>
          <cell r="J63">
            <v>39091</v>
          </cell>
          <cell r="K63">
            <v>39091</v>
          </cell>
        </row>
        <row r="64">
          <cell r="B64" t="str">
            <v>Nguyễn Khắc Vui</v>
          </cell>
          <cell r="C64" t="str">
            <v>Ban Quản lý nhà</v>
          </cell>
          <cell r="D64" t="str">
            <v>NV Bảo vệ</v>
          </cell>
          <cell r="E64" t="str">
            <v>NV Bảo vệ</v>
          </cell>
          <cell r="F64" t="str">
            <v>GT</v>
          </cell>
          <cell r="G64" t="str">
            <v>GT</v>
          </cell>
          <cell r="H64" t="str">
            <v>Đại học</v>
          </cell>
          <cell r="J64">
            <v>39452</v>
          </cell>
          <cell r="K64">
            <v>39452</v>
          </cell>
        </row>
        <row r="65">
          <cell r="B65" t="str">
            <v>Vũ Văn Viễn</v>
          </cell>
          <cell r="C65" t="str">
            <v>Ban Quản lý nhà</v>
          </cell>
          <cell r="D65" t="str">
            <v>NV Bảo vệ</v>
          </cell>
          <cell r="E65" t="str">
            <v>NV Bảo vệ</v>
          </cell>
          <cell r="F65" t="str">
            <v>GT</v>
          </cell>
          <cell r="G65" t="str">
            <v>GT</v>
          </cell>
          <cell r="H65" t="str">
            <v>Đại học</v>
          </cell>
          <cell r="J65">
            <v>38883</v>
          </cell>
          <cell r="K65">
            <v>38883</v>
          </cell>
        </row>
        <row r="66">
          <cell r="B66" t="str">
            <v>Đỗ Kim Giang</v>
          </cell>
          <cell r="C66" t="str">
            <v>Ban Quản lý nhà</v>
          </cell>
          <cell r="D66" t="str">
            <v>NV Bảo vệ</v>
          </cell>
          <cell r="E66" t="str">
            <v>NV Bảo vệ</v>
          </cell>
          <cell r="F66" t="str">
            <v>GT</v>
          </cell>
          <cell r="G66" t="str">
            <v>GT</v>
          </cell>
          <cell r="H66" t="str">
            <v>Đại học</v>
          </cell>
          <cell r="J66">
            <v>31059</v>
          </cell>
          <cell r="K66">
            <v>31059</v>
          </cell>
        </row>
        <row r="67">
          <cell r="B67" t="str">
            <v>Phạm Văn Dũng</v>
          </cell>
          <cell r="C67" t="str">
            <v>Ban Quản lý nhà</v>
          </cell>
          <cell r="D67" t="str">
            <v>NV Bảo vệ</v>
          </cell>
          <cell r="E67" t="str">
            <v>NV Bảo vệ</v>
          </cell>
          <cell r="F67" t="str">
            <v>GT</v>
          </cell>
          <cell r="G67" t="str">
            <v>GT</v>
          </cell>
          <cell r="H67" t="str">
            <v>Đại học</v>
          </cell>
          <cell r="J67">
            <v>39086</v>
          </cell>
          <cell r="K67">
            <v>39086</v>
          </cell>
        </row>
        <row r="68">
          <cell r="B68" t="str">
            <v>Trịnh Văn Duẩn</v>
          </cell>
          <cell r="C68" t="str">
            <v>Ban Quản lý nhà</v>
          </cell>
          <cell r="D68" t="str">
            <v>NV Bảo vệ</v>
          </cell>
          <cell r="E68" t="str">
            <v>NV Bảo vệ</v>
          </cell>
          <cell r="F68" t="str">
            <v>GT</v>
          </cell>
          <cell r="G68" t="str">
            <v>GT</v>
          </cell>
          <cell r="H68" t="str">
            <v>Đại học</v>
          </cell>
          <cell r="J68">
            <v>39636</v>
          </cell>
          <cell r="K68">
            <v>39636</v>
          </cell>
        </row>
        <row r="69">
          <cell r="B69" t="str">
            <v>Trịnh Hữu Thắng</v>
          </cell>
          <cell r="C69" t="str">
            <v>Ban Quản lý nhà</v>
          </cell>
          <cell r="D69" t="str">
            <v>NV Bảo vệ</v>
          </cell>
          <cell r="E69" t="str">
            <v>NV Bảo vệ</v>
          </cell>
          <cell r="F69" t="str">
            <v>GT</v>
          </cell>
          <cell r="G69" t="str">
            <v>GT</v>
          </cell>
          <cell r="H69" t="str">
            <v>Đại học</v>
          </cell>
          <cell r="J69">
            <v>39815</v>
          </cell>
          <cell r="K69">
            <v>39815</v>
          </cell>
        </row>
        <row r="70">
          <cell r="B70" t="str">
            <v>Nguyễn Phi Cường</v>
          </cell>
          <cell r="C70" t="str">
            <v>Ban Quản lý nhà</v>
          </cell>
          <cell r="D70" t="str">
            <v>NV Bảo vệ</v>
          </cell>
          <cell r="E70" t="str">
            <v>NV Bảo vệ</v>
          </cell>
          <cell r="F70" t="str">
            <v>GT</v>
          </cell>
          <cell r="G70" t="str">
            <v>GT</v>
          </cell>
          <cell r="H70" t="str">
            <v>Đại học</v>
          </cell>
          <cell r="J70">
            <v>39604</v>
          </cell>
          <cell r="K70">
            <v>39604</v>
          </cell>
        </row>
        <row r="71">
          <cell r="B71" t="str">
            <v>Lê Thành Long</v>
          </cell>
          <cell r="C71" t="str">
            <v>Ban Quản lý nhà</v>
          </cell>
          <cell r="D71" t="str">
            <v>NV Bảo vệ</v>
          </cell>
          <cell r="E71" t="str">
            <v>NV Bảo vệ</v>
          </cell>
          <cell r="F71" t="str">
            <v>GT</v>
          </cell>
          <cell r="G71" t="str">
            <v>GT</v>
          </cell>
          <cell r="H71" t="str">
            <v>Đại học</v>
          </cell>
          <cell r="J71">
            <v>39604</v>
          </cell>
          <cell r="K71">
            <v>39604</v>
          </cell>
        </row>
        <row r="72">
          <cell r="B72" t="str">
            <v>Nguyễn Viết Sơn</v>
          </cell>
          <cell r="C72" t="str">
            <v>Ban Quản lý nhà</v>
          </cell>
          <cell r="D72" t="str">
            <v>NV Bảo vệ</v>
          </cell>
          <cell r="E72" t="str">
            <v>NV Bảo vệ</v>
          </cell>
          <cell r="F72" t="str">
            <v>GT</v>
          </cell>
          <cell r="G72" t="str">
            <v>GT</v>
          </cell>
          <cell r="H72" t="str">
            <v>Đại học</v>
          </cell>
          <cell r="J72">
            <v>39937</v>
          </cell>
          <cell r="K72">
            <v>39937</v>
          </cell>
        </row>
        <row r="73">
          <cell r="B73" t="str">
            <v>Lê Như Cúc</v>
          </cell>
          <cell r="C73" t="str">
            <v>Ban Quản lý nhà</v>
          </cell>
          <cell r="D73" t="str">
            <v>NV Bảo vệ</v>
          </cell>
          <cell r="E73" t="str">
            <v>NV Bảo vệ</v>
          </cell>
          <cell r="F73" t="str">
            <v>GT</v>
          </cell>
          <cell r="G73" t="str">
            <v>GT</v>
          </cell>
          <cell r="H73" t="str">
            <v>Đại học</v>
          </cell>
          <cell r="J73">
            <v>39450</v>
          </cell>
          <cell r="K73">
            <v>39450</v>
          </cell>
        </row>
        <row r="74">
          <cell r="B74" t="str">
            <v>Hà Minh Hùng</v>
          </cell>
          <cell r="C74" t="str">
            <v>Ban Quản lý nhà</v>
          </cell>
          <cell r="D74" t="str">
            <v>NV Bảo vệ</v>
          </cell>
          <cell r="E74" t="str">
            <v>NV Bảo vệ</v>
          </cell>
          <cell r="F74" t="str">
            <v>GT</v>
          </cell>
          <cell r="G74" t="str">
            <v>GT</v>
          </cell>
          <cell r="H74" t="str">
            <v>Đại học</v>
          </cell>
          <cell r="J74">
            <v>40081</v>
          </cell>
          <cell r="K74">
            <v>40081</v>
          </cell>
        </row>
        <row r="75">
          <cell r="B75" t="str">
            <v>Nguyễn Trường Xuân</v>
          </cell>
          <cell r="C75" t="str">
            <v>Ban Quản lý nhà</v>
          </cell>
          <cell r="D75" t="str">
            <v>NV Bảo vệ</v>
          </cell>
          <cell r="E75" t="str">
            <v>NV Bảo vệ</v>
          </cell>
          <cell r="F75" t="str">
            <v>GT</v>
          </cell>
          <cell r="G75" t="str">
            <v>GT</v>
          </cell>
          <cell r="H75" t="str">
            <v>Đại học</v>
          </cell>
          <cell r="J75">
            <v>40112</v>
          </cell>
          <cell r="K75">
            <v>40112</v>
          </cell>
        </row>
        <row r="76">
          <cell r="B76" t="str">
            <v>Nguyễn Văn Việt</v>
          </cell>
          <cell r="C76" t="str">
            <v>Ban Quản lý nhà</v>
          </cell>
          <cell r="D76" t="str">
            <v>NV Bảo vệ</v>
          </cell>
          <cell r="E76" t="str">
            <v>NV Bảo vệ</v>
          </cell>
          <cell r="F76" t="str">
            <v>GT</v>
          </cell>
          <cell r="G76" t="str">
            <v>GT</v>
          </cell>
          <cell r="H76" t="str">
            <v>Đại học</v>
          </cell>
          <cell r="J76">
            <v>40334</v>
          </cell>
          <cell r="K76">
            <v>40334</v>
          </cell>
        </row>
        <row r="77">
          <cell r="B77" t="str">
            <v>Nguyễn Trọng Khuê</v>
          </cell>
          <cell r="C77" t="str">
            <v>Ban Quản lý nhà</v>
          </cell>
          <cell r="D77" t="str">
            <v>NV Bảo vệ</v>
          </cell>
          <cell r="E77" t="str">
            <v>NV Bảo vệ</v>
          </cell>
          <cell r="F77" t="str">
            <v>GT</v>
          </cell>
          <cell r="G77" t="str">
            <v>GT</v>
          </cell>
          <cell r="H77" t="str">
            <v>Đại học</v>
          </cell>
          <cell r="J77">
            <v>40313</v>
          </cell>
          <cell r="K77">
            <v>40313</v>
          </cell>
        </row>
        <row r="78">
          <cell r="B78" t="str">
            <v>Nguyễn Gia Mạnh</v>
          </cell>
          <cell r="C78" t="str">
            <v>Ban Quản lý nhà</v>
          </cell>
          <cell r="D78" t="str">
            <v>NV Bảo vệ</v>
          </cell>
          <cell r="E78" t="str">
            <v>NV Bảo vệ</v>
          </cell>
          <cell r="F78" t="str">
            <v>GT</v>
          </cell>
          <cell r="G78" t="str">
            <v>GT</v>
          </cell>
          <cell r="H78" t="str">
            <v>Đại học</v>
          </cell>
          <cell r="J78">
            <v>40184</v>
          </cell>
          <cell r="K78">
            <v>40184</v>
          </cell>
        </row>
        <row r="79">
          <cell r="B79" t="str">
            <v>Nguyễn Thị Hương</v>
          </cell>
          <cell r="C79" t="str">
            <v>Ban Quản lý nhà</v>
          </cell>
          <cell r="D79" t="str">
            <v>NV vệ sinh</v>
          </cell>
          <cell r="E79" t="str">
            <v>NV vệ sinh</v>
          </cell>
          <cell r="F79" t="str">
            <v>GT</v>
          </cell>
          <cell r="G79" t="str">
            <v>GT</v>
          </cell>
          <cell r="H79" t="str">
            <v>Đại học</v>
          </cell>
          <cell r="J79">
            <v>39450</v>
          </cell>
          <cell r="K79">
            <v>39450</v>
          </cell>
        </row>
        <row r="80">
          <cell r="B80" t="str">
            <v>Đào Hải Yến</v>
          </cell>
          <cell r="C80" t="str">
            <v>Ban Quản lý nhà</v>
          </cell>
          <cell r="D80" t="str">
            <v>NV vệ sinh</v>
          </cell>
          <cell r="E80" t="str">
            <v>NV vệ sinh</v>
          </cell>
          <cell r="F80" t="str">
            <v>GT</v>
          </cell>
          <cell r="G80" t="str">
            <v>GT</v>
          </cell>
          <cell r="H80" t="str">
            <v>Đại học</v>
          </cell>
          <cell r="J80">
            <v>39450</v>
          </cell>
          <cell r="K80">
            <v>39450</v>
          </cell>
        </row>
        <row r="81">
          <cell r="B81" t="str">
            <v>Công Thị Ánh Tuyết</v>
          </cell>
          <cell r="C81" t="str">
            <v>Ban Quản lý nhà</v>
          </cell>
          <cell r="D81" t="str">
            <v>NV vệ sinh</v>
          </cell>
          <cell r="E81" t="str">
            <v>NV vệ sinh</v>
          </cell>
          <cell r="F81" t="str">
            <v>GT</v>
          </cell>
          <cell r="G81" t="str">
            <v>GT</v>
          </cell>
          <cell r="H81" t="str">
            <v>Đại học</v>
          </cell>
          <cell r="J81">
            <v>39450</v>
          </cell>
          <cell r="K81">
            <v>39450</v>
          </cell>
        </row>
        <row r="82">
          <cell r="B82" t="str">
            <v>Nguyễn Thị Thu Hiền (B)</v>
          </cell>
          <cell r="C82" t="str">
            <v>Ban Quản lý nhà</v>
          </cell>
          <cell r="D82" t="str">
            <v>NV vệ sinh</v>
          </cell>
          <cell r="E82" t="str">
            <v>NV vệ sinh</v>
          </cell>
          <cell r="F82" t="str">
            <v>GT</v>
          </cell>
          <cell r="G82" t="str">
            <v>GT</v>
          </cell>
          <cell r="H82" t="str">
            <v>Đại học</v>
          </cell>
          <cell r="J82">
            <v>39450</v>
          </cell>
          <cell r="K82">
            <v>39450</v>
          </cell>
        </row>
        <row r="83">
          <cell r="B83" t="str">
            <v>Đỗ Thị Thu Hương</v>
          </cell>
          <cell r="C83" t="str">
            <v>Ban Quản lý nhà</v>
          </cell>
          <cell r="D83" t="str">
            <v>NV vệ sinh</v>
          </cell>
          <cell r="E83" t="str">
            <v>NV vệ sinh</v>
          </cell>
          <cell r="F83" t="str">
            <v>GT</v>
          </cell>
          <cell r="G83" t="str">
            <v>GT</v>
          </cell>
          <cell r="H83" t="str">
            <v>Đại học</v>
          </cell>
          <cell r="J83">
            <v>39452</v>
          </cell>
          <cell r="K83">
            <v>39452</v>
          </cell>
        </row>
        <row r="84">
          <cell r="B84" t="str">
            <v>Phạm Thị Mỹ</v>
          </cell>
          <cell r="C84" t="str">
            <v>Ban Quản lý nhà</v>
          </cell>
          <cell r="D84" t="str">
            <v>NV vệ sinh</v>
          </cell>
          <cell r="E84" t="str">
            <v>NV vệ sinh</v>
          </cell>
          <cell r="F84" t="str">
            <v>GT</v>
          </cell>
          <cell r="G84" t="str">
            <v>GT</v>
          </cell>
          <cell r="H84" t="str">
            <v>Đại học</v>
          </cell>
          <cell r="J84">
            <v>40031</v>
          </cell>
          <cell r="K84">
            <v>40031</v>
          </cell>
        </row>
        <row r="85">
          <cell r="B85" t="str">
            <v>Lê Thị Oai</v>
          </cell>
          <cell r="C85" t="str">
            <v>Ban Quản lý nhà</v>
          </cell>
          <cell r="D85" t="str">
            <v>NV vệ sinh</v>
          </cell>
          <cell r="E85" t="str">
            <v>NV vệ sinh</v>
          </cell>
          <cell r="F85" t="str">
            <v>GT</v>
          </cell>
          <cell r="G85" t="str">
            <v>GT</v>
          </cell>
          <cell r="H85" t="str">
            <v>Đại học</v>
          </cell>
          <cell r="J85">
            <v>40313</v>
          </cell>
          <cell r="K85">
            <v>40313</v>
          </cell>
        </row>
        <row r="86">
          <cell r="B86" t="str">
            <v>Bùi Doãn Thiện</v>
          </cell>
          <cell r="C86" t="str">
            <v>Ban Quản lý nhà</v>
          </cell>
          <cell r="D86" t="str">
            <v>NV Bảo vệ khu Quang Minh</v>
          </cell>
          <cell r="E86" t="str">
            <v>NV Bảo vệ</v>
          </cell>
          <cell r="F86" t="str">
            <v>GT</v>
          </cell>
          <cell r="G86" t="str">
            <v>GT</v>
          </cell>
          <cell r="H86" t="str">
            <v>Đại học</v>
          </cell>
          <cell r="J86">
            <v>37995</v>
          </cell>
          <cell r="K86">
            <v>37995</v>
          </cell>
        </row>
        <row r="87">
          <cell r="B87" t="str">
            <v>Nguyễn Văn Tụ</v>
          </cell>
          <cell r="C87" t="str">
            <v>Ban Quản lý nhà</v>
          </cell>
          <cell r="D87" t="str">
            <v>NV Bảo vệ khu Quang Minh</v>
          </cell>
          <cell r="E87" t="str">
            <v>NV Bảo vệ</v>
          </cell>
          <cell r="F87" t="str">
            <v>GT</v>
          </cell>
          <cell r="G87" t="str">
            <v>GT</v>
          </cell>
          <cell r="H87" t="str">
            <v>Đại học</v>
          </cell>
          <cell r="J87">
            <v>39090</v>
          </cell>
          <cell r="K87">
            <v>39090</v>
          </cell>
        </row>
        <row r="88">
          <cell r="B88" t="str">
            <v>Hạ Văn Thành</v>
          </cell>
          <cell r="C88" t="str">
            <v>Ban Quản lý nhà</v>
          </cell>
          <cell r="D88" t="str">
            <v>NV Bảo vệ khu Quang Minh</v>
          </cell>
          <cell r="E88" t="str">
            <v>NV Bảo vệ</v>
          </cell>
          <cell r="F88" t="str">
            <v>GT</v>
          </cell>
          <cell r="G88" t="str">
            <v>GT</v>
          </cell>
          <cell r="H88" t="str">
            <v>Đại học</v>
          </cell>
          <cell r="J88">
            <v>39736</v>
          </cell>
          <cell r="K88">
            <v>39736</v>
          </cell>
        </row>
        <row r="89">
          <cell r="B89" t="str">
            <v>Nguyễn Văn Bẩy</v>
          </cell>
          <cell r="C89" t="str">
            <v>Ban Quản lý nhà</v>
          </cell>
          <cell r="D89" t="str">
            <v>NV Bảo vệ khu Quang Minh</v>
          </cell>
          <cell r="E89" t="str">
            <v>NV Bảo vệ</v>
          </cell>
          <cell r="F89" t="str">
            <v>GT</v>
          </cell>
          <cell r="G89" t="str">
            <v>GT</v>
          </cell>
          <cell r="H89" t="str">
            <v>Đại học</v>
          </cell>
          <cell r="J89">
            <v>39736</v>
          </cell>
          <cell r="K89">
            <v>39736</v>
          </cell>
        </row>
        <row r="90">
          <cell r="B90" t="str">
            <v>Vũ Văn Mạnh</v>
          </cell>
          <cell r="C90" t="str">
            <v>Ban Quản lý nhà</v>
          </cell>
          <cell r="D90" t="str">
            <v>NV Bảo vệ khu Quang Minh KT</v>
          </cell>
          <cell r="E90" t="str">
            <v>NV Bảo vệ</v>
          </cell>
          <cell r="F90" t="str">
            <v>GT</v>
          </cell>
          <cell r="G90" t="str">
            <v>GT</v>
          </cell>
          <cell r="H90" t="str">
            <v>Đại học</v>
          </cell>
          <cell r="J90">
            <v>40181</v>
          </cell>
          <cell r="K90">
            <v>40181</v>
          </cell>
        </row>
        <row r="91">
          <cell r="B91" t="str">
            <v>Phạm Thanh Hùng</v>
          </cell>
          <cell r="C91" t="str">
            <v>Ban quản lý dự án 25</v>
          </cell>
          <cell r="D91" t="str">
            <v>Trưởng ban QLDA</v>
          </cell>
          <cell r="E91" t="str">
            <v>Trưởng ban QLDA</v>
          </cell>
          <cell r="F91" t="str">
            <v>GT</v>
          </cell>
          <cell r="G91" t="str">
            <v>GT</v>
          </cell>
          <cell r="H91" t="str">
            <v>Đại học</v>
          </cell>
          <cell r="J91">
            <v>36903</v>
          </cell>
          <cell r="K91">
            <v>40364</v>
          </cell>
        </row>
        <row r="92">
          <cell r="B92" t="str">
            <v>Vũ Trọng Long</v>
          </cell>
          <cell r="C92" t="str">
            <v>Ban quản lý dự án 25</v>
          </cell>
          <cell r="D92" t="str">
            <v>Phó ban QLDA</v>
          </cell>
          <cell r="E92" t="str">
            <v>Phó ban QLDA</v>
          </cell>
          <cell r="F92" t="str">
            <v>GT</v>
          </cell>
          <cell r="G92" t="str">
            <v>GT</v>
          </cell>
          <cell r="H92" t="str">
            <v>Đại học</v>
          </cell>
          <cell r="J92">
            <v>39542</v>
          </cell>
          <cell r="K92" t="str">
            <v>15/8/2009</v>
          </cell>
        </row>
        <row r="93">
          <cell r="B93" t="str">
            <v>Nguyễn Thị Thuyên</v>
          </cell>
          <cell r="C93" t="str">
            <v>Ban quản lý dự án 25</v>
          </cell>
          <cell r="D93" t="str">
            <v>NV hành chính tổng hợp</v>
          </cell>
          <cell r="E93" t="str">
            <v>NV Hành chính tổng hợp</v>
          </cell>
          <cell r="F93" t="str">
            <v>GT</v>
          </cell>
          <cell r="G93" t="str">
            <v>GT</v>
          </cell>
          <cell r="H93" t="str">
            <v>Đại học</v>
          </cell>
          <cell r="J93">
            <v>38718</v>
          </cell>
          <cell r="K93">
            <v>38718</v>
          </cell>
        </row>
        <row r="94">
          <cell r="B94" t="str">
            <v>Dương Quốc Hùng</v>
          </cell>
          <cell r="C94" t="str">
            <v>Ban quản lý dự án 25</v>
          </cell>
          <cell r="D94" t="str">
            <v>NV quản lý chất lượng và tiến độ</v>
          </cell>
          <cell r="E94" t="str">
            <v>NV Quản lý chất lượng và tiến độ</v>
          </cell>
          <cell r="F94" t="str">
            <v>GT</v>
          </cell>
          <cell r="G94" t="str">
            <v>GT</v>
          </cell>
          <cell r="H94" t="str">
            <v>Đại học</v>
          </cell>
          <cell r="J94">
            <v>40406</v>
          </cell>
          <cell r="K94">
            <v>40406</v>
          </cell>
        </row>
        <row r="95">
          <cell r="B95" t="str">
            <v>Vũ Đình Thắng</v>
          </cell>
          <cell r="C95" t="str">
            <v>Ban quản lý dự án 25</v>
          </cell>
          <cell r="D95" t="str">
            <v>NV quản lý chất lượng và tiến độ</v>
          </cell>
          <cell r="E95" t="str">
            <v>NV Quản lý chất lượng và tiến độ</v>
          </cell>
          <cell r="F95" t="str">
            <v>GT</v>
          </cell>
          <cell r="G95" t="str">
            <v>GT</v>
          </cell>
          <cell r="H95" t="str">
            <v>Đại học</v>
          </cell>
          <cell r="J95">
            <v>39309</v>
          </cell>
          <cell r="K95">
            <v>39309</v>
          </cell>
        </row>
        <row r="96">
          <cell r="B96" t="str">
            <v>Nguyễn Văn Quyết</v>
          </cell>
          <cell r="C96" t="str">
            <v>Ban quản lý dự án 25</v>
          </cell>
          <cell r="D96" t="str">
            <v>NV quản lý chất lượng và tiến độ</v>
          </cell>
          <cell r="E96" t="str">
            <v>NV Quản lý chất lượng và tiến độ</v>
          </cell>
          <cell r="F96" t="str">
            <v>GT</v>
          </cell>
          <cell r="G96" t="str">
            <v>GT</v>
          </cell>
          <cell r="H96" t="str">
            <v>Đại học</v>
          </cell>
          <cell r="J96">
            <v>40179</v>
          </cell>
          <cell r="K96">
            <v>40179</v>
          </cell>
        </row>
        <row r="97">
          <cell r="B97" t="str">
            <v>Hoàng Mai Hòa</v>
          </cell>
          <cell r="C97" t="str">
            <v>Ban quản lý dự án 25</v>
          </cell>
          <cell r="D97" t="str">
            <v>NV quản lý chất lượng và tiến độ</v>
          </cell>
          <cell r="E97" t="str">
            <v>NV Quản lý chất lượng và tiến độ</v>
          </cell>
          <cell r="F97" t="str">
            <v>GT</v>
          </cell>
          <cell r="G97" t="str">
            <v>GT</v>
          </cell>
          <cell r="H97" t="str">
            <v>Đại học</v>
          </cell>
          <cell r="J97">
            <v>40273</v>
          </cell>
          <cell r="K97">
            <v>40273</v>
          </cell>
        </row>
        <row r="98">
          <cell r="B98" t="str">
            <v>Vũ Đình Thắng</v>
          </cell>
          <cell r="C98" t="str">
            <v>Ban quản lý dự án 25</v>
          </cell>
          <cell r="D98" t="str">
            <v>NV phụ trách ATLD, VSLD</v>
          </cell>
          <cell r="E98" t="str">
            <v>NV Phụ trách ATLD, VSLD</v>
          </cell>
          <cell r="F98" t="str">
            <v>GT</v>
          </cell>
          <cell r="G98" t="str">
            <v>GT</v>
          </cell>
          <cell r="H98" t="str">
            <v>Đại học</v>
          </cell>
          <cell r="J98">
            <v>39309</v>
          </cell>
          <cell r="K98">
            <v>39309</v>
          </cell>
        </row>
        <row r="99">
          <cell r="B99" t="str">
            <v>Nguyễn Mạnh Duy</v>
          </cell>
          <cell r="C99" t="str">
            <v>Ban quản lý dự án 25</v>
          </cell>
          <cell r="D99" t="str">
            <v>NV quản lý trắc địa, thí nghiệm</v>
          </cell>
          <cell r="E99" t="str">
            <v>NV Quản lý trắc địa, thí nghiệm</v>
          </cell>
          <cell r="F99" t="str">
            <v>GT</v>
          </cell>
          <cell r="G99" t="str">
            <v>GT</v>
          </cell>
          <cell r="H99" t="str">
            <v>Đại học</v>
          </cell>
          <cell r="J99">
            <v>37998</v>
          </cell>
          <cell r="K99">
            <v>37998</v>
          </cell>
        </row>
        <row r="100">
          <cell r="B100" t="str">
            <v>Nguyễn Thế Dân</v>
          </cell>
          <cell r="C100" t="str">
            <v>Ban quản lý dự án 25</v>
          </cell>
          <cell r="D100" t="str">
            <v>NV quản lý khối lượng và hoàn công</v>
          </cell>
          <cell r="E100" t="str">
            <v>NV Quản lý khối lượng và hoàn công</v>
          </cell>
          <cell r="F100" t="str">
            <v>GT</v>
          </cell>
          <cell r="G100" t="str">
            <v>GT</v>
          </cell>
          <cell r="H100" t="str">
            <v>Đại học</v>
          </cell>
          <cell r="J100">
            <v>40179</v>
          </cell>
          <cell r="K100">
            <v>40179</v>
          </cell>
        </row>
        <row r="101">
          <cell r="B101" t="str">
            <v>Hoàng Hữu Hiển</v>
          </cell>
          <cell r="C101" t="str">
            <v>Ban quản lý dự án 25</v>
          </cell>
          <cell r="D101" t="str">
            <v>Bảo vệ</v>
          </cell>
          <cell r="E101" t="str">
            <v>NV Bảo vệ</v>
          </cell>
          <cell r="F101" t="str">
            <v>GT</v>
          </cell>
          <cell r="G101" t="str">
            <v>GT</v>
          </cell>
          <cell r="H101" t="str">
            <v>Đại học</v>
          </cell>
          <cell r="J101">
            <v>38359</v>
          </cell>
          <cell r="K101">
            <v>38359</v>
          </cell>
        </row>
        <row r="102">
          <cell r="B102" t="str">
            <v>Mai Trọng Tấn</v>
          </cell>
          <cell r="C102" t="str">
            <v>Ban quản lý dự án 25</v>
          </cell>
          <cell r="D102" t="str">
            <v>Bảo vệ</v>
          </cell>
          <cell r="E102" t="str">
            <v>NV Bảo vệ</v>
          </cell>
          <cell r="F102" t="str">
            <v>GT</v>
          </cell>
          <cell r="G102" t="str">
            <v>GT</v>
          </cell>
          <cell r="H102" t="str">
            <v>Đại học</v>
          </cell>
          <cell r="J102">
            <v>39633</v>
          </cell>
          <cell r="K102">
            <v>39633</v>
          </cell>
        </row>
        <row r="103">
          <cell r="B103" t="str">
            <v>Nguyễn Khắc Lợi</v>
          </cell>
          <cell r="C103" t="str">
            <v>Ban quản lý dự án 25</v>
          </cell>
          <cell r="D103" t="str">
            <v>Bảo vệ</v>
          </cell>
          <cell r="E103" t="str">
            <v>NV Bảo vệ</v>
          </cell>
          <cell r="F103" t="str">
            <v>GT</v>
          </cell>
          <cell r="G103" t="str">
            <v>GT</v>
          </cell>
          <cell r="H103" t="str">
            <v>Đại học</v>
          </cell>
          <cell r="J103">
            <v>37631</v>
          </cell>
          <cell r="K103">
            <v>37631</v>
          </cell>
        </row>
        <row r="104">
          <cell r="F104" t="str">
            <v>GT</v>
          </cell>
          <cell r="G104" t="str">
            <v>GT</v>
          </cell>
        </row>
        <row r="105">
          <cell r="F105" t="str">
            <v>GT</v>
          </cell>
          <cell r="G105" t="str">
            <v>GT</v>
          </cell>
        </row>
        <row r="106">
          <cell r="F106" t="str">
            <v>GT</v>
          </cell>
          <cell r="G106" t="str">
            <v>GT</v>
          </cell>
        </row>
        <row r="107">
          <cell r="F107" t="str">
            <v>GT</v>
          </cell>
          <cell r="G107" t="str">
            <v>GT</v>
          </cell>
        </row>
        <row r="108">
          <cell r="F108" t="str">
            <v>GT</v>
          </cell>
          <cell r="G108" t="str">
            <v>GT</v>
          </cell>
        </row>
        <row r="109">
          <cell r="F109" t="str">
            <v>GT</v>
          </cell>
          <cell r="G109" t="str">
            <v>GT</v>
          </cell>
        </row>
        <row r="110">
          <cell r="F110" t="str">
            <v>GT</v>
          </cell>
          <cell r="G110" t="str">
            <v>GT</v>
          </cell>
        </row>
        <row r="111">
          <cell r="F111" t="str">
            <v>GT</v>
          </cell>
          <cell r="G111" t="str">
            <v>GT</v>
          </cell>
        </row>
        <row r="112">
          <cell r="F112" t="str">
            <v>GT</v>
          </cell>
          <cell r="G112" t="str">
            <v>GT</v>
          </cell>
        </row>
        <row r="113">
          <cell r="F113" t="str">
            <v>GT</v>
          </cell>
          <cell r="G113" t="str">
            <v>GT</v>
          </cell>
        </row>
        <row r="114">
          <cell r="F114" t="str">
            <v>GT</v>
          </cell>
          <cell r="G114" t="str">
            <v>GT</v>
          </cell>
        </row>
        <row r="115">
          <cell r="F115" t="str">
            <v>GT</v>
          </cell>
          <cell r="G115" t="str">
            <v>GT</v>
          </cell>
        </row>
        <row r="116">
          <cell r="F116" t="str">
            <v>GT</v>
          </cell>
          <cell r="G116" t="str">
            <v>GT</v>
          </cell>
        </row>
        <row r="117">
          <cell r="F117" t="str">
            <v>GT</v>
          </cell>
          <cell r="G117" t="str">
            <v>GT</v>
          </cell>
        </row>
        <row r="118">
          <cell r="F118" t="str">
            <v>GT</v>
          </cell>
          <cell r="G118" t="str">
            <v>GT</v>
          </cell>
        </row>
        <row r="119">
          <cell r="F119" t="str">
            <v>GT</v>
          </cell>
          <cell r="G119" t="str">
            <v>GT</v>
          </cell>
        </row>
        <row r="120">
          <cell r="F120" t="str">
            <v>GT</v>
          </cell>
          <cell r="G120" t="str">
            <v>GT</v>
          </cell>
        </row>
        <row r="121">
          <cell r="F121" t="str">
            <v>GT</v>
          </cell>
          <cell r="G121" t="str">
            <v>GT</v>
          </cell>
        </row>
        <row r="122">
          <cell r="F122" t="str">
            <v>GT</v>
          </cell>
          <cell r="G122" t="str">
            <v>GT</v>
          </cell>
        </row>
        <row r="123">
          <cell r="F123" t="str">
            <v>GT</v>
          </cell>
          <cell r="G123" t="str">
            <v>GT</v>
          </cell>
        </row>
        <row r="124">
          <cell r="F124" t="str">
            <v>GT</v>
          </cell>
          <cell r="G124" t="str">
            <v>GT</v>
          </cell>
        </row>
        <row r="125">
          <cell r="F125" t="str">
            <v>GT</v>
          </cell>
          <cell r="G125" t="str">
            <v>GT</v>
          </cell>
        </row>
        <row r="126">
          <cell r="F126" t="str">
            <v>GT</v>
          </cell>
          <cell r="G126" t="str">
            <v>GT</v>
          </cell>
        </row>
        <row r="127">
          <cell r="F127" t="str">
            <v>GT</v>
          </cell>
          <cell r="G127" t="str">
            <v>GT</v>
          </cell>
        </row>
        <row r="128">
          <cell r="F128" t="str">
            <v>GT</v>
          </cell>
          <cell r="G128" t="str">
            <v>GT</v>
          </cell>
        </row>
        <row r="129">
          <cell r="F129" t="str">
            <v>GT</v>
          </cell>
          <cell r="G129" t="str">
            <v>GT</v>
          </cell>
        </row>
        <row r="130">
          <cell r="F130" t="str">
            <v>GT</v>
          </cell>
          <cell r="G130" t="str">
            <v>GT</v>
          </cell>
        </row>
        <row r="131">
          <cell r="F131" t="str">
            <v>GT</v>
          </cell>
          <cell r="G131" t="str">
            <v>GT</v>
          </cell>
        </row>
        <row r="132">
          <cell r="F132" t="str">
            <v>GT</v>
          </cell>
          <cell r="G132" t="str">
            <v>GT</v>
          </cell>
        </row>
        <row r="133">
          <cell r="F133" t="str">
            <v>GT</v>
          </cell>
          <cell r="G133" t="str">
            <v>GT</v>
          </cell>
        </row>
        <row r="134">
          <cell r="F134" t="str">
            <v>GT</v>
          </cell>
          <cell r="G134" t="str">
            <v>GT</v>
          </cell>
        </row>
        <row r="135">
          <cell r="F135" t="str">
            <v>GT</v>
          </cell>
          <cell r="G135" t="str">
            <v>GT</v>
          </cell>
        </row>
        <row r="136">
          <cell r="F136" t="str">
            <v>GT</v>
          </cell>
          <cell r="G136" t="str">
            <v>GT</v>
          </cell>
        </row>
        <row r="137">
          <cell r="F137" t="str">
            <v>GT</v>
          </cell>
          <cell r="G137" t="str">
            <v>GT</v>
          </cell>
        </row>
        <row r="138">
          <cell r="F138" t="str">
            <v>GT</v>
          </cell>
          <cell r="G138" t="str">
            <v>GT</v>
          </cell>
        </row>
        <row r="139">
          <cell r="F139" t="str">
            <v>GT</v>
          </cell>
          <cell r="G139" t="str">
            <v>GT</v>
          </cell>
        </row>
        <row r="140">
          <cell r="F140" t="str">
            <v>GT</v>
          </cell>
          <cell r="G140" t="str">
            <v>GT</v>
          </cell>
        </row>
        <row r="141">
          <cell r="F141" t="str">
            <v>GT</v>
          </cell>
          <cell r="G141" t="str">
            <v>GT</v>
          </cell>
        </row>
        <row r="142">
          <cell r="F142" t="str">
            <v>GT</v>
          </cell>
          <cell r="G142" t="str">
            <v>GT</v>
          </cell>
        </row>
        <row r="143">
          <cell r="F143" t="str">
            <v>GT</v>
          </cell>
          <cell r="G143" t="str">
            <v>GT</v>
          </cell>
        </row>
        <row r="144">
          <cell r="F144" t="str">
            <v>GT</v>
          </cell>
          <cell r="G144" t="str">
            <v>GT</v>
          </cell>
        </row>
        <row r="145">
          <cell r="F145" t="str">
            <v>GT</v>
          </cell>
          <cell r="G145" t="str">
            <v>GT</v>
          </cell>
        </row>
        <row r="146">
          <cell r="F146" t="str">
            <v>GT</v>
          </cell>
          <cell r="G146" t="str">
            <v>GT</v>
          </cell>
        </row>
        <row r="147">
          <cell r="F147" t="str">
            <v>GT</v>
          </cell>
          <cell r="G147" t="str">
            <v>GT</v>
          </cell>
        </row>
        <row r="148">
          <cell r="F148" t="str">
            <v>GT</v>
          </cell>
          <cell r="G148" t="str">
            <v>GT</v>
          </cell>
        </row>
        <row r="149">
          <cell r="F149" t="str">
            <v>GT</v>
          </cell>
          <cell r="G149" t="str">
            <v>GT</v>
          </cell>
        </row>
        <row r="150">
          <cell r="F150" t="str">
            <v>GT</v>
          </cell>
          <cell r="G150" t="str">
            <v>GT</v>
          </cell>
        </row>
        <row r="151">
          <cell r="F151" t="str">
            <v>GT</v>
          </cell>
          <cell r="G151" t="str">
            <v>GT</v>
          </cell>
        </row>
        <row r="152">
          <cell r="F152" t="str">
            <v>GT</v>
          </cell>
          <cell r="G152" t="str">
            <v>GT</v>
          </cell>
        </row>
        <row r="153">
          <cell r="F153" t="str">
            <v>GT</v>
          </cell>
          <cell r="G153" t="str">
            <v>GT</v>
          </cell>
        </row>
        <row r="154">
          <cell r="F154" t="str">
            <v>GT</v>
          </cell>
          <cell r="G154" t="str">
            <v>GT</v>
          </cell>
        </row>
        <row r="155">
          <cell r="F155" t="str">
            <v>GT</v>
          </cell>
          <cell r="G155" t="str">
            <v>GT</v>
          </cell>
        </row>
        <row r="156">
          <cell r="F156" t="str">
            <v>GT</v>
          </cell>
          <cell r="G156" t="str">
            <v>GT</v>
          </cell>
        </row>
        <row r="157">
          <cell r="F157" t="str">
            <v>GT</v>
          </cell>
          <cell r="G157" t="str">
            <v>GT</v>
          </cell>
        </row>
        <row r="158">
          <cell r="F158" t="str">
            <v>GT</v>
          </cell>
          <cell r="G158" t="str">
            <v>GT</v>
          </cell>
        </row>
        <row r="159">
          <cell r="F159" t="str">
            <v>GT</v>
          </cell>
          <cell r="G159" t="str">
            <v>GT</v>
          </cell>
        </row>
        <row r="160">
          <cell r="F160" t="str">
            <v>GT</v>
          </cell>
          <cell r="G160" t="str">
            <v>GT</v>
          </cell>
        </row>
        <row r="161">
          <cell r="F161" t="str">
            <v>GT</v>
          </cell>
          <cell r="G161" t="str">
            <v>GT</v>
          </cell>
        </row>
        <row r="162">
          <cell r="F162" t="str">
            <v>GT</v>
          </cell>
          <cell r="G162" t="str">
            <v>GT</v>
          </cell>
        </row>
        <row r="163">
          <cell r="F163" t="str">
            <v>GT</v>
          </cell>
          <cell r="G163" t="str">
            <v>GT</v>
          </cell>
        </row>
        <row r="164">
          <cell r="F164" t="str">
            <v>GT</v>
          </cell>
          <cell r="G164" t="str">
            <v>GT</v>
          </cell>
        </row>
        <row r="165">
          <cell r="F165" t="str">
            <v>GT</v>
          </cell>
          <cell r="G165" t="str">
            <v>GT</v>
          </cell>
        </row>
        <row r="166">
          <cell r="F166" t="str">
            <v>GT</v>
          </cell>
          <cell r="G166" t="str">
            <v>GT</v>
          </cell>
        </row>
        <row r="167">
          <cell r="F167" t="str">
            <v>GT</v>
          </cell>
          <cell r="G167" t="str">
            <v>GT</v>
          </cell>
        </row>
        <row r="168">
          <cell r="F168" t="str">
            <v>GT</v>
          </cell>
          <cell r="G168" t="str">
            <v>GT</v>
          </cell>
        </row>
        <row r="169">
          <cell r="F169" t="str">
            <v>GT</v>
          </cell>
          <cell r="G169" t="str">
            <v>GT</v>
          </cell>
        </row>
        <row r="170">
          <cell r="F170" t="str">
            <v>GT</v>
          </cell>
          <cell r="G170" t="str">
            <v>GT</v>
          </cell>
        </row>
        <row r="171">
          <cell r="F171" t="str">
            <v>GT</v>
          </cell>
          <cell r="G171" t="str">
            <v>GT</v>
          </cell>
        </row>
        <row r="172">
          <cell r="F172" t="str">
            <v>GT</v>
          </cell>
          <cell r="G172" t="str">
            <v>GT</v>
          </cell>
        </row>
        <row r="173">
          <cell r="F173" t="str">
            <v>GT</v>
          </cell>
          <cell r="G173" t="str">
            <v>GT</v>
          </cell>
        </row>
        <row r="174">
          <cell r="F174" t="str">
            <v>GT</v>
          </cell>
          <cell r="G174" t="str">
            <v>GT</v>
          </cell>
        </row>
        <row r="175">
          <cell r="F175" t="str">
            <v>GT</v>
          </cell>
          <cell r="G175" t="str">
            <v>GT</v>
          </cell>
        </row>
        <row r="176">
          <cell r="F176" t="str">
            <v>GT</v>
          </cell>
          <cell r="G176" t="str">
            <v>GT</v>
          </cell>
        </row>
        <row r="177">
          <cell r="F177" t="str">
            <v>GT</v>
          </cell>
          <cell r="G177" t="str">
            <v>GT</v>
          </cell>
        </row>
        <row r="178">
          <cell r="F178" t="str">
            <v>GT</v>
          </cell>
          <cell r="G178" t="str">
            <v>GT</v>
          </cell>
        </row>
        <row r="179">
          <cell r="F179" t="str">
            <v>GT</v>
          </cell>
          <cell r="G179" t="str">
            <v>GT</v>
          </cell>
        </row>
        <row r="180">
          <cell r="F180" t="str">
            <v>GT</v>
          </cell>
          <cell r="G180" t="str">
            <v>GT</v>
          </cell>
        </row>
        <row r="181">
          <cell r="F181" t="str">
            <v>GT</v>
          </cell>
          <cell r="G181" t="str">
            <v>GT</v>
          </cell>
        </row>
        <row r="182">
          <cell r="F182" t="str">
            <v>GT</v>
          </cell>
          <cell r="G182" t="str">
            <v>GT</v>
          </cell>
        </row>
        <row r="183">
          <cell r="F183" t="str">
            <v>GT</v>
          </cell>
          <cell r="G183" t="str">
            <v>GT</v>
          </cell>
        </row>
      </sheetData>
      <sheetData sheetId="6" refreshError="1"/>
      <sheetData sheetId="7" refreshError="1"/>
      <sheetData sheetId="8" refreshError="1"/>
      <sheetData sheetId="9" refreshError="1">
        <row r="4">
          <cell r="B4" t="str">
            <v>Vũ Tuấn Đương</v>
          </cell>
          <cell r="C4" t="str">
            <v>Ban lãnh đạo Công ty</v>
          </cell>
          <cell r="D4" t="str">
            <v>Chủ tịch Hội đồng quản trị</v>
          </cell>
          <cell r="E4" t="str">
            <v>Tiến sỹ</v>
          </cell>
          <cell r="F4" t="str">
            <v xml:space="preserve">Tiến sĩ Kinh tế </v>
          </cell>
          <cell r="G4">
            <v>37917</v>
          </cell>
          <cell r="H4" t="str">
            <v>Chủ tịch Hội đồng quản trị</v>
          </cell>
          <cell r="I4">
            <v>38631</v>
          </cell>
          <cell r="L4" t="str">
            <v>Bí thư Đảng uỷ CT</v>
          </cell>
          <cell r="M4" t="str">
            <v>P.cấp</v>
          </cell>
        </row>
        <row r="5">
          <cell r="B5" t="str">
            <v>Bùi Đình Sơn</v>
          </cell>
          <cell r="C5" t="str">
            <v>Ban lãnh đạo Công ty</v>
          </cell>
          <cell r="D5" t="str">
            <v>UV HĐQT, Tổng giám đốc</v>
          </cell>
          <cell r="E5" t="str">
            <v>Đại Học</v>
          </cell>
          <cell r="F5" t="str">
            <v>Cử nhân Kinh tế vật tư</v>
          </cell>
          <cell r="G5">
            <v>35805</v>
          </cell>
          <cell r="H5" t="str">
            <v>Tổng Giám đốc</v>
          </cell>
          <cell r="I5">
            <v>39146</v>
          </cell>
          <cell r="J5">
            <v>11000000</v>
          </cell>
          <cell r="K5">
            <v>13000000</v>
          </cell>
          <cell r="L5" t="str">
            <v>Phó Bí thư Đảng uỷ CT</v>
          </cell>
          <cell r="M5" t="str">
            <v>15.0</v>
          </cell>
        </row>
        <row r="6">
          <cell r="B6" t="str">
            <v>Phạm Văn Thăng</v>
          </cell>
          <cell r="C6" t="str">
            <v>Ban lãnh đạo Công ty</v>
          </cell>
          <cell r="D6" t="str">
            <v>Phó tổng giám đốc Công ty</v>
          </cell>
          <cell r="E6" t="str">
            <v>Đại Học</v>
          </cell>
          <cell r="F6" t="str">
            <v>Kỹ sư Kinh tế Giao thông</v>
          </cell>
          <cell r="G6">
            <v>37626</v>
          </cell>
          <cell r="H6" t="str">
            <v>Phó Tổng giám đốc</v>
          </cell>
          <cell r="I6" t="str">
            <v>22/6/2010</v>
          </cell>
          <cell r="J6">
            <v>9000000</v>
          </cell>
          <cell r="K6">
            <v>11700000</v>
          </cell>
          <cell r="L6" t="str">
            <v>Trưởng ban Điều hành Lai Châu</v>
          </cell>
          <cell r="M6" t="str">
            <v>12.5</v>
          </cell>
        </row>
        <row r="7">
          <cell r="B7" t="str">
            <v>Nguyễn Văn Hiệp</v>
          </cell>
          <cell r="C7" t="str">
            <v>Ban lãnh đạo Công ty</v>
          </cell>
          <cell r="D7" t="str">
            <v>UV HĐQT Công ty</v>
          </cell>
          <cell r="E7" t="str">
            <v>Đại Học</v>
          </cell>
          <cell r="F7" t="str">
            <v>KS Máy xây dựng</v>
          </cell>
          <cell r="G7">
            <v>29869</v>
          </cell>
          <cell r="H7" t="str">
            <v>Phó Tổng giám đốc</v>
          </cell>
          <cell r="I7">
            <v>38631</v>
          </cell>
          <cell r="J7">
            <v>9000000</v>
          </cell>
          <cell r="K7">
            <v>11700000</v>
          </cell>
          <cell r="M7" t="str">
            <v>12.5</v>
          </cell>
        </row>
        <row r="8">
          <cell r="B8" t="str">
            <v>Trần Thành Mai</v>
          </cell>
          <cell r="C8" t="str">
            <v>Ban lãnh đạo Công ty</v>
          </cell>
          <cell r="D8" t="str">
            <v>Phó tổng giám đốc Công ty</v>
          </cell>
          <cell r="E8" t="str">
            <v>Đại Học</v>
          </cell>
          <cell r="F8" t="str">
            <v>Kỹ sư XD Đô thị</v>
          </cell>
          <cell r="G8">
            <v>32518</v>
          </cell>
          <cell r="H8" t="str">
            <v>Phó Tổng giám đốc</v>
          </cell>
          <cell r="I8" t="str">
            <v>19/7/2007</v>
          </cell>
          <cell r="J8">
            <v>9000000</v>
          </cell>
          <cell r="K8">
            <v>11700000</v>
          </cell>
          <cell r="M8" t="str">
            <v>12.5</v>
          </cell>
        </row>
        <row r="9">
          <cell r="B9" t="str">
            <v>Nguyễn Thanh Tú</v>
          </cell>
          <cell r="C9" t="str">
            <v>Ban lãnh đạo Công ty</v>
          </cell>
          <cell r="D9" t="str">
            <v>UV HĐQT, Phó tổng giám đốc</v>
          </cell>
          <cell r="E9" t="str">
            <v>Thạc sỹ</v>
          </cell>
          <cell r="F9" t="str">
            <v>Thạc sĩ Quản trị kinh doanh</v>
          </cell>
          <cell r="G9">
            <v>37633</v>
          </cell>
          <cell r="H9" t="str">
            <v>Phó Tổng giám đốc</v>
          </cell>
          <cell r="I9" t="str">
            <v>22/6/2010</v>
          </cell>
          <cell r="J9">
            <v>7500000</v>
          </cell>
          <cell r="K9">
            <v>10000000</v>
          </cell>
          <cell r="M9" t="str">
            <v>12.5</v>
          </cell>
        </row>
        <row r="10">
          <cell r="B10" t="str">
            <v>Nguyễn Khắc Minh</v>
          </cell>
          <cell r="C10" t="str">
            <v>Ban kiểm soát Công ty</v>
          </cell>
          <cell r="D10" t="str">
            <v>Trưởng ban kiểm soát</v>
          </cell>
          <cell r="E10" t="str">
            <v>Đại Học</v>
          </cell>
          <cell r="F10" t="str">
            <v>Tài chính Kế toán</v>
          </cell>
          <cell r="G10">
            <v>37988</v>
          </cell>
          <cell r="H10" t="str">
            <v>Trưởng ban kiểm soát</v>
          </cell>
          <cell r="I10" t="str">
            <v>22/4/2010</v>
          </cell>
          <cell r="J10">
            <v>9000000</v>
          </cell>
          <cell r="K10">
            <v>11700000</v>
          </cell>
          <cell r="M10" t="str">
            <v>12.5</v>
          </cell>
        </row>
        <row r="11">
          <cell r="B11" t="str">
            <v>Phạm Đình Diệp</v>
          </cell>
          <cell r="C11" t="str">
            <v>Văn phòng Công đoàn CT</v>
          </cell>
          <cell r="D11" t="str">
            <v>Chủ tịch Công đoàn Công ty</v>
          </cell>
          <cell r="E11" t="str">
            <v>Đại Học</v>
          </cell>
          <cell r="F11" t="str">
            <v>KS Kinh tế xây dựng</v>
          </cell>
          <cell r="G11">
            <v>29952</v>
          </cell>
          <cell r="H11" t="str">
            <v>Chủ tịch Công Đoàn</v>
          </cell>
          <cell r="I11">
            <v>38631</v>
          </cell>
          <cell r="J11">
            <v>8250000</v>
          </cell>
          <cell r="K11">
            <v>9500000</v>
          </cell>
          <cell r="M11" t="str">
            <v>10.0</v>
          </cell>
        </row>
        <row r="12">
          <cell r="B12" t="str">
            <v>Nguyễn Văn Điềm</v>
          </cell>
          <cell r="C12" t="str">
            <v>Trưởng phòng</v>
          </cell>
          <cell r="D12" t="str">
            <v>Phòng Tổ chức hành chính</v>
          </cell>
          <cell r="E12" t="str">
            <v>Đại Học</v>
          </cell>
          <cell r="F12" t="str">
            <v>KS Xây dựng</v>
          </cell>
          <cell r="G12">
            <v>30317</v>
          </cell>
          <cell r="H12" t="str">
            <v>Trưởng phòng</v>
          </cell>
          <cell r="I12">
            <v>38631</v>
          </cell>
          <cell r="J12">
            <v>8000000</v>
          </cell>
          <cell r="K12">
            <v>10200000</v>
          </cell>
          <cell r="L12" t="str">
            <v>Thường trực công tác Đảng</v>
          </cell>
          <cell r="M12" t="str">
            <v>11.0</v>
          </cell>
        </row>
        <row r="13">
          <cell r="B13" t="str">
            <v>Phạm Thị Hà</v>
          </cell>
          <cell r="C13" t="str">
            <v>Phó phòng</v>
          </cell>
          <cell r="D13" t="str">
            <v>Phòng Tổ chức hành chính</v>
          </cell>
          <cell r="E13" t="str">
            <v>Đại Học</v>
          </cell>
          <cell r="F13" t="str">
            <v>KS Xây dựng</v>
          </cell>
          <cell r="G13">
            <v>29952</v>
          </cell>
          <cell r="H13" t="str">
            <v>Phó phòng</v>
          </cell>
          <cell r="I13">
            <v>38631</v>
          </cell>
          <cell r="J13">
            <v>5750000</v>
          </cell>
          <cell r="K13">
            <v>7200000</v>
          </cell>
          <cell r="L13" t="str">
            <v>Thực hiện công tác Đảng</v>
          </cell>
          <cell r="M13" t="str">
            <v>8.0</v>
          </cell>
        </row>
        <row r="14">
          <cell r="B14" t="str">
            <v>Vũ Thị Nga</v>
          </cell>
          <cell r="C14" t="str">
            <v>Nhân viên (đang đi học)</v>
          </cell>
          <cell r="D14" t="str">
            <v>Phòng Tổ chức hành chính</v>
          </cell>
          <cell r="E14" t="str">
            <v>Cao đẳng</v>
          </cell>
          <cell r="F14" t="str">
            <v>Cao đẳng Sư phạm</v>
          </cell>
          <cell r="G14">
            <v>39091</v>
          </cell>
          <cell r="H14" t="str">
            <v>Nhân viên</v>
          </cell>
          <cell r="I14">
            <v>39091</v>
          </cell>
          <cell r="J14">
            <v>3250000</v>
          </cell>
          <cell r="K14">
            <v>4500000</v>
          </cell>
          <cell r="M14" t="str">
            <v>5.0</v>
          </cell>
        </row>
        <row r="15">
          <cell r="B15" t="str">
            <v>Trịnh Minh Hoan</v>
          </cell>
          <cell r="C15" t="str">
            <v>Nhân viên HCQT</v>
          </cell>
          <cell r="D15" t="str">
            <v>Phòng Tổ chức hành chính</v>
          </cell>
          <cell r="E15" t="str">
            <v>Đại Học</v>
          </cell>
          <cell r="F15" t="str">
            <v>Kỹ sư Điện tử - Viễn thông</v>
          </cell>
          <cell r="G15">
            <v>33974</v>
          </cell>
          <cell r="H15" t="str">
            <v>Nhân viên</v>
          </cell>
          <cell r="I15">
            <v>33974</v>
          </cell>
          <cell r="J15">
            <v>3250000</v>
          </cell>
          <cell r="K15">
            <v>4500000</v>
          </cell>
          <cell r="M15" t="str">
            <v>5.0</v>
          </cell>
        </row>
        <row r="16">
          <cell r="B16" t="str">
            <v>Hoàng Thị Thùy Trang</v>
          </cell>
          <cell r="C16" t="str">
            <v>Nhân viên Văn thư</v>
          </cell>
          <cell r="D16" t="str">
            <v>Phòng Tổ chức hành chính</v>
          </cell>
          <cell r="E16" t="str">
            <v>Trung cấp</v>
          </cell>
          <cell r="F16" t="str">
            <v>Trung cấp Văn thư</v>
          </cell>
          <cell r="G16">
            <v>37990</v>
          </cell>
          <cell r="H16" t="str">
            <v>Nhân viên</v>
          </cell>
          <cell r="I16">
            <v>37990</v>
          </cell>
          <cell r="J16">
            <v>2700000</v>
          </cell>
          <cell r="K16">
            <v>3500000</v>
          </cell>
          <cell r="M16" t="str">
            <v>4.0</v>
          </cell>
        </row>
        <row r="17">
          <cell r="B17" t="str">
            <v>Hạ Văn Sự</v>
          </cell>
          <cell r="C17" t="str">
            <v>NV Lái xe con</v>
          </cell>
          <cell r="D17" t="str">
            <v>Phòng Tổ chức hành chính</v>
          </cell>
          <cell r="E17" t="str">
            <v>Công nhân Kỹ thuật</v>
          </cell>
          <cell r="F17" t="str">
            <v>Công nhân     Lái xe ô tô</v>
          </cell>
          <cell r="G17">
            <v>32519</v>
          </cell>
          <cell r="H17" t="str">
            <v>Công nhân</v>
          </cell>
          <cell r="I17">
            <v>32519</v>
          </cell>
          <cell r="J17">
            <v>3500000</v>
          </cell>
          <cell r="K17">
            <v>4250000</v>
          </cell>
          <cell r="M17" t="str">
            <v>4.5</v>
          </cell>
        </row>
        <row r="18">
          <cell r="B18" t="str">
            <v>Nguyễn Văn Trung</v>
          </cell>
          <cell r="C18" t="str">
            <v>NV Lái xe con</v>
          </cell>
          <cell r="D18" t="str">
            <v>Phòng Tổ chức hành chính</v>
          </cell>
          <cell r="E18" t="str">
            <v>Công nhân Kỹ thuật</v>
          </cell>
          <cell r="F18" t="str">
            <v>Công nhân     Lái xe ô tô</v>
          </cell>
          <cell r="G18">
            <v>31787</v>
          </cell>
          <cell r="H18" t="str">
            <v>Công nhân</v>
          </cell>
          <cell r="I18">
            <v>31787</v>
          </cell>
          <cell r="J18">
            <v>4000000</v>
          </cell>
          <cell r="K18">
            <v>4750000</v>
          </cell>
          <cell r="M18" t="str">
            <v>5.0</v>
          </cell>
        </row>
        <row r="19">
          <cell r="B19" t="str">
            <v>Nguyễn Văn Khánh</v>
          </cell>
          <cell r="C19" t="str">
            <v>NV Lái xe con</v>
          </cell>
          <cell r="D19" t="str">
            <v>Phòng Tổ chức hành chính</v>
          </cell>
          <cell r="E19" t="str">
            <v>Công nhân Kỹ thuật</v>
          </cell>
          <cell r="F19" t="str">
            <v>Công nhân     Lái xe ô tô</v>
          </cell>
          <cell r="G19">
            <v>32512</v>
          </cell>
          <cell r="H19" t="str">
            <v>Công nhân</v>
          </cell>
          <cell r="I19">
            <v>32512</v>
          </cell>
          <cell r="J19">
            <v>3500000</v>
          </cell>
          <cell r="K19">
            <v>4250000</v>
          </cell>
          <cell r="M19" t="str">
            <v>4.5</v>
          </cell>
        </row>
        <row r="20">
          <cell r="B20" t="str">
            <v>Nguyễn Văn Hùng</v>
          </cell>
          <cell r="C20" t="str">
            <v>NV Lái xe con</v>
          </cell>
          <cell r="D20" t="str">
            <v>Phòng Tổ chức hành chính</v>
          </cell>
          <cell r="E20" t="str">
            <v>Công nhân Kỹ thuật</v>
          </cell>
          <cell r="F20" t="str">
            <v>Công nhân     Lái xe ô tô</v>
          </cell>
          <cell r="G20">
            <v>29596</v>
          </cell>
          <cell r="H20" t="str">
            <v>Công nhân</v>
          </cell>
          <cell r="I20">
            <v>29596</v>
          </cell>
          <cell r="J20">
            <v>4500000</v>
          </cell>
          <cell r="K20">
            <v>5750000</v>
          </cell>
          <cell r="M20" t="str">
            <v>5.5</v>
          </cell>
        </row>
        <row r="21">
          <cell r="B21" t="str">
            <v>Trần Thị Vân Anh</v>
          </cell>
          <cell r="C21" t="str">
            <v>Trưởng phòng</v>
          </cell>
          <cell r="D21" t="str">
            <v>Phòng Tổng hợp</v>
          </cell>
          <cell r="E21" t="str">
            <v>Đại Học</v>
          </cell>
          <cell r="F21" t="str">
            <v>Cử nhân Luật Kinh tế</v>
          </cell>
          <cell r="G21">
            <v>39493</v>
          </cell>
          <cell r="H21" t="str">
            <v>Trưởng phòng</v>
          </cell>
          <cell r="I21" t="str">
            <v>22/6/2010</v>
          </cell>
          <cell r="J21">
            <v>6250000</v>
          </cell>
          <cell r="K21">
            <v>8500000</v>
          </cell>
          <cell r="M21" t="str">
            <v>10.0</v>
          </cell>
        </row>
        <row r="22">
          <cell r="B22" t="str">
            <v>Dương Thị Phượng</v>
          </cell>
          <cell r="C22" t="str">
            <v>Phó phòng</v>
          </cell>
          <cell r="D22" t="str">
            <v>Phòng Tổng hợp</v>
          </cell>
          <cell r="E22" t="str">
            <v>Đại Học</v>
          </cell>
          <cell r="F22" t="str">
            <v>Cử nhân K.tế;  Anh, Trung văn</v>
          </cell>
          <cell r="G22">
            <v>35441</v>
          </cell>
          <cell r="H22" t="str">
            <v>Phó phòng</v>
          </cell>
          <cell r="I22">
            <v>40488</v>
          </cell>
          <cell r="J22">
            <v>4000000</v>
          </cell>
          <cell r="K22">
            <v>6000000</v>
          </cell>
          <cell r="M22" t="str">
            <v>8.0</v>
          </cell>
        </row>
        <row r="23">
          <cell r="B23" t="str">
            <v>Lê Hữu Đăng</v>
          </cell>
          <cell r="C23" t="str">
            <v>Nhân viên</v>
          </cell>
          <cell r="D23" t="str">
            <v>Phòng Tổng hợp</v>
          </cell>
          <cell r="E23" t="str">
            <v>Đại Học</v>
          </cell>
          <cell r="F23" t="str">
            <v>Cử nhân Kinh tế</v>
          </cell>
          <cell r="G23">
            <v>40045</v>
          </cell>
          <cell r="H23" t="str">
            <v>Chuyên viên</v>
          </cell>
          <cell r="I23">
            <v>40045</v>
          </cell>
          <cell r="J23">
            <v>3000000</v>
          </cell>
          <cell r="K23">
            <v>4000000</v>
          </cell>
          <cell r="M23" t="str">
            <v>5.0</v>
          </cell>
        </row>
        <row r="24">
          <cell r="B24" t="str">
            <v>Hoàng Thị Hồng nhung</v>
          </cell>
          <cell r="C24" t="str">
            <v>Nhân viên</v>
          </cell>
          <cell r="D24" t="str">
            <v>Phòng Tổng hợp</v>
          </cell>
          <cell r="E24" t="str">
            <v>Đại Học</v>
          </cell>
          <cell r="F24" t="str">
            <v>KS Kinh tế xây dựng</v>
          </cell>
          <cell r="G24">
            <v>40112</v>
          </cell>
          <cell r="H24" t="str">
            <v>Chuyên viên</v>
          </cell>
          <cell r="I24">
            <v>40112</v>
          </cell>
          <cell r="J24">
            <v>3000000</v>
          </cell>
          <cell r="K24">
            <v>3500000</v>
          </cell>
          <cell r="M24" t="str">
            <v>4.0</v>
          </cell>
        </row>
        <row r="25">
          <cell r="B25" t="str">
            <v>Bùi Văn Tuyên</v>
          </cell>
          <cell r="C25" t="str">
            <v>Nhân viên</v>
          </cell>
          <cell r="D25" t="str">
            <v>Phòng Tổng hợp</v>
          </cell>
          <cell r="E25" t="str">
            <v>Đại Học</v>
          </cell>
          <cell r="F25" t="str">
            <v>Cử nhân Tin học</v>
          </cell>
          <cell r="G25">
            <v>39092</v>
          </cell>
          <cell r="H25" t="str">
            <v>Nhân viên</v>
          </cell>
          <cell r="I25">
            <v>39092</v>
          </cell>
          <cell r="J25">
            <v>3250000</v>
          </cell>
          <cell r="K25">
            <v>4200000</v>
          </cell>
          <cell r="M25" t="str">
            <v>4.5</v>
          </cell>
        </row>
        <row r="26">
          <cell r="B26" t="str">
            <v>Nguyễn Thị Thơm</v>
          </cell>
          <cell r="C26" t="str">
            <v>Kế toán trưởng</v>
          </cell>
          <cell r="D26" t="str">
            <v>Phòng Tài chính Kế toán</v>
          </cell>
          <cell r="E26" t="str">
            <v>Đại Học</v>
          </cell>
          <cell r="F26" t="str">
            <v>Tài chính Kế toán</v>
          </cell>
          <cell r="G26">
            <v>37988</v>
          </cell>
          <cell r="H26" t="str">
            <v>Kế toán trưởng</v>
          </cell>
          <cell r="I26" t="str">
            <v>22/6/2010</v>
          </cell>
          <cell r="J26">
            <v>7500000</v>
          </cell>
          <cell r="K26">
            <v>10000000</v>
          </cell>
          <cell r="M26" t="str">
            <v>12.5</v>
          </cell>
        </row>
        <row r="27">
          <cell r="B27" t="str">
            <v>Ngô Thị Mai Hương</v>
          </cell>
          <cell r="C27" t="str">
            <v>Phó kế toán trưởng</v>
          </cell>
          <cell r="D27" t="str">
            <v>Phòng Tài chính Kế toán</v>
          </cell>
          <cell r="E27" t="str">
            <v>Đại Học</v>
          </cell>
          <cell r="F27" t="str">
            <v>Tài chính Kế toán</v>
          </cell>
          <cell r="G27">
            <v>37992</v>
          </cell>
          <cell r="H27" t="str">
            <v>Phó Kế toán trưởng</v>
          </cell>
          <cell r="I27">
            <v>40184</v>
          </cell>
          <cell r="J27">
            <v>4400000</v>
          </cell>
          <cell r="K27">
            <v>6500000</v>
          </cell>
          <cell r="M27" t="str">
            <v>8.5</v>
          </cell>
        </row>
        <row r="28">
          <cell r="B28" t="str">
            <v>Trần Anh Hòa</v>
          </cell>
          <cell r="C28" t="str">
            <v>Phó kế toán trưởng</v>
          </cell>
          <cell r="D28" t="str">
            <v>Phòng Tài chính Kế toán</v>
          </cell>
          <cell r="E28" t="str">
            <v>Đại Học</v>
          </cell>
          <cell r="F28" t="str">
            <v>Tài chính Kế toán</v>
          </cell>
          <cell r="G28">
            <v>37991</v>
          </cell>
          <cell r="H28" t="str">
            <v>Phó Kế toán trưởng</v>
          </cell>
          <cell r="I28" t="str">
            <v>18/4/2008</v>
          </cell>
          <cell r="J28">
            <v>6000000</v>
          </cell>
          <cell r="K28">
            <v>7500000</v>
          </cell>
          <cell r="M28" t="str">
            <v>8.0</v>
          </cell>
        </row>
        <row r="29">
          <cell r="B29" t="str">
            <v>Lại Thị Thơ</v>
          </cell>
          <cell r="C29" t="str">
            <v>Nhân viên</v>
          </cell>
          <cell r="D29" t="str">
            <v>Phòng Tài chính Kế toán</v>
          </cell>
          <cell r="E29" t="str">
            <v>Đại Học</v>
          </cell>
          <cell r="F29" t="str">
            <v>Tài chính Kế toán</v>
          </cell>
          <cell r="G29">
            <v>38359</v>
          </cell>
          <cell r="H29" t="str">
            <v>Chuyên viên</v>
          </cell>
          <cell r="I29">
            <v>38359</v>
          </cell>
          <cell r="J29">
            <v>3250000</v>
          </cell>
          <cell r="K29">
            <v>4000000</v>
          </cell>
          <cell r="L29" t="str">
            <v>Thủ quỹ Công ty</v>
          </cell>
          <cell r="M29" t="str">
            <v>5.0</v>
          </cell>
        </row>
        <row r="30">
          <cell r="B30" t="str">
            <v>Phạm Thị Thu Phương</v>
          </cell>
          <cell r="C30" t="str">
            <v>Nhân viên</v>
          </cell>
          <cell r="D30" t="str">
            <v>Phòng Tài chính Kế toán</v>
          </cell>
          <cell r="E30" t="str">
            <v>Đại Học</v>
          </cell>
          <cell r="F30" t="str">
            <v>Tài chính Kế toán</v>
          </cell>
          <cell r="G30">
            <v>40231</v>
          </cell>
          <cell r="H30" t="str">
            <v>Chuyên viên</v>
          </cell>
          <cell r="I30">
            <v>40231</v>
          </cell>
          <cell r="J30">
            <v>0</v>
          </cell>
          <cell r="K30">
            <v>4500000</v>
          </cell>
          <cell r="M30" t="str">
            <v>5.0</v>
          </cell>
        </row>
        <row r="31">
          <cell r="B31" t="str">
            <v>Ưng Thị Phương Thúy</v>
          </cell>
          <cell r="C31" t="str">
            <v>Nhân viên</v>
          </cell>
          <cell r="D31" t="str">
            <v>Phòng Tài chính Kế toán</v>
          </cell>
          <cell r="E31" t="str">
            <v>Đại Học</v>
          </cell>
          <cell r="F31" t="str">
            <v>Cử nhân Tài chính Ng. hàng</v>
          </cell>
          <cell r="G31">
            <v>40185</v>
          </cell>
          <cell r="H31" t="str">
            <v>Chuyên viên</v>
          </cell>
          <cell r="I31">
            <v>40185</v>
          </cell>
          <cell r="J31">
            <v>0</v>
          </cell>
          <cell r="K31">
            <v>4500000</v>
          </cell>
          <cell r="M31" t="str">
            <v>5.0</v>
          </cell>
        </row>
        <row r="32">
          <cell r="B32" t="str">
            <v>Trần Quang Huy</v>
          </cell>
          <cell r="C32" t="str">
            <v>Trưởng phòng</v>
          </cell>
          <cell r="D32" t="str">
            <v>Phòng Kinh tế Kỹ thuật</v>
          </cell>
          <cell r="E32" t="str">
            <v>Đại Học</v>
          </cell>
          <cell r="F32" t="str">
            <v>Kỹ sư Thuỷ lợi</v>
          </cell>
          <cell r="G32">
            <v>35069</v>
          </cell>
          <cell r="H32" t="str">
            <v>Trưởng phòng</v>
          </cell>
          <cell r="I32" t="str">
            <v>24/3/2010</v>
          </cell>
          <cell r="J32">
            <v>7500000</v>
          </cell>
          <cell r="K32">
            <v>9000000</v>
          </cell>
          <cell r="M32" t="str">
            <v>10.0</v>
          </cell>
        </row>
        <row r="33">
          <cell r="B33" t="str">
            <v>Cao Xuân Thắng</v>
          </cell>
          <cell r="C33" t="str">
            <v>Phó phòng</v>
          </cell>
          <cell r="D33" t="str">
            <v>Phòng Kinh tế Kỹ thuật</v>
          </cell>
          <cell r="E33" t="str">
            <v>Đại Học</v>
          </cell>
          <cell r="F33" t="str">
            <v>Kỹ sư Xây dựng Đường bộ</v>
          </cell>
          <cell r="G33">
            <v>39310</v>
          </cell>
          <cell r="H33" t="str">
            <v>Phó phòng</v>
          </cell>
          <cell r="I33">
            <v>40182</v>
          </cell>
          <cell r="J33">
            <v>5750000</v>
          </cell>
          <cell r="K33">
            <v>7000000</v>
          </cell>
          <cell r="M33" t="str">
            <v>8.0</v>
          </cell>
        </row>
        <row r="34">
          <cell r="B34" t="str">
            <v>Đỗ Thế Tùng</v>
          </cell>
          <cell r="C34" t="str">
            <v>Nhân viên kỹ thuật</v>
          </cell>
          <cell r="D34" t="str">
            <v>Phòng Kinh tế Kỹ thuật</v>
          </cell>
          <cell r="E34" t="str">
            <v>Cao đẳng</v>
          </cell>
          <cell r="F34" t="str">
            <v>Cao đẳng cầu đường</v>
          </cell>
          <cell r="G34">
            <v>37994</v>
          </cell>
          <cell r="H34" t="str">
            <v>Cán bộ kỹ thuật</v>
          </cell>
          <cell r="I34">
            <v>37994</v>
          </cell>
          <cell r="J34">
            <v>3000000</v>
          </cell>
          <cell r="K34">
            <v>3500000</v>
          </cell>
          <cell r="M34" t="str">
            <v>4.0</v>
          </cell>
        </row>
        <row r="35">
          <cell r="B35" t="str">
            <v>Nguyễn Minh Hoan</v>
          </cell>
          <cell r="C35" t="str">
            <v>Nhân viên kỹ thuật</v>
          </cell>
          <cell r="D35" t="str">
            <v>Phòng Kinh tế Kỹ thuật</v>
          </cell>
          <cell r="E35" t="str">
            <v>Đại Học</v>
          </cell>
          <cell r="F35" t="str">
            <v>Kỹ sư Thuỷ lợi</v>
          </cell>
          <cell r="G35">
            <v>38728</v>
          </cell>
          <cell r="H35" t="str">
            <v>Cán bộ kỹ thuật</v>
          </cell>
          <cell r="I35">
            <v>38728</v>
          </cell>
          <cell r="J35">
            <v>3750000</v>
          </cell>
          <cell r="K35">
            <v>5000000</v>
          </cell>
          <cell r="M35" t="str">
            <v>5.5</v>
          </cell>
        </row>
        <row r="36">
          <cell r="B36" t="str">
            <v>Đỗ Việt Thắng</v>
          </cell>
          <cell r="C36" t="str">
            <v>Nhân viên kỹ thuật</v>
          </cell>
          <cell r="D36" t="str">
            <v>Phòng Kinh tế Kỹ thuật</v>
          </cell>
          <cell r="E36" t="str">
            <v>Đại Học</v>
          </cell>
          <cell r="F36" t="str">
            <v>Kỹ sư Xây dựng Cầu đường</v>
          </cell>
          <cell r="G36">
            <v>39399</v>
          </cell>
          <cell r="H36" t="str">
            <v>Cán bộ kỹ thuật</v>
          </cell>
          <cell r="I36">
            <v>39399</v>
          </cell>
          <cell r="J36">
            <v>3750000</v>
          </cell>
          <cell r="K36">
            <v>5000000</v>
          </cell>
          <cell r="M36" t="str">
            <v>5.5</v>
          </cell>
        </row>
        <row r="37">
          <cell r="B37" t="str">
            <v>Lê Việt Tùng</v>
          </cell>
          <cell r="C37" t="str">
            <v>Nhân viên kỹ thuật</v>
          </cell>
          <cell r="D37" t="str">
            <v>Phòng Kinh tế Kỹ thuật</v>
          </cell>
          <cell r="E37" t="str">
            <v>Đại Học</v>
          </cell>
          <cell r="F37" t="str">
            <v>Kỹ sư XD Cầu đường</v>
          </cell>
          <cell r="G37">
            <v>39908</v>
          </cell>
          <cell r="H37" t="str">
            <v>Cán bộ kỹ thuật</v>
          </cell>
          <cell r="I37">
            <v>39908</v>
          </cell>
          <cell r="J37">
            <v>3750000</v>
          </cell>
          <cell r="K37">
            <v>4500000</v>
          </cell>
          <cell r="M37" t="str">
            <v>5.0</v>
          </cell>
        </row>
        <row r="38">
          <cell r="B38" t="str">
            <v>Đinh Thị Kim Anh</v>
          </cell>
          <cell r="C38" t="str">
            <v>Nhân viên văn phòng</v>
          </cell>
          <cell r="D38" t="str">
            <v>Phòng Kinh tế Kỹ thuật</v>
          </cell>
          <cell r="E38" t="str">
            <v>Đại Học</v>
          </cell>
          <cell r="F38" t="str">
            <v>Cử nhân Luật</v>
          </cell>
          <cell r="G38">
            <v>40179</v>
          </cell>
          <cell r="H38" t="str">
            <v>Chuyên viên</v>
          </cell>
          <cell r="I38">
            <v>40179</v>
          </cell>
          <cell r="J38">
            <v>0</v>
          </cell>
          <cell r="K38">
            <v>4500000</v>
          </cell>
          <cell r="M38" t="str">
            <v>5.0</v>
          </cell>
        </row>
        <row r="39">
          <cell r="B39" t="str">
            <v>Nguyễn Khánh Linh</v>
          </cell>
          <cell r="C39" t="str">
            <v>Nhân viên kỹ thuật</v>
          </cell>
          <cell r="D39" t="str">
            <v>Phòng Kinh tế Kỹ thuật</v>
          </cell>
          <cell r="E39" t="str">
            <v>Đại Học</v>
          </cell>
          <cell r="F39" t="str">
            <v>KS Kinh tế xây dựng</v>
          </cell>
          <cell r="G39">
            <v>39459</v>
          </cell>
          <cell r="H39" t="str">
            <v>Chuyên viên</v>
          </cell>
          <cell r="I39">
            <v>39459</v>
          </cell>
          <cell r="J39">
            <v>4700000</v>
          </cell>
          <cell r="K39">
            <v>6000000</v>
          </cell>
          <cell r="M39" t="str">
            <v>6.5</v>
          </cell>
        </row>
        <row r="40">
          <cell r="B40" t="str">
            <v>Nguyễn Thị Lan</v>
          </cell>
          <cell r="C40" t="str">
            <v>Nhân viên kỹ thuật</v>
          </cell>
          <cell r="D40" t="str">
            <v>Phòng Kinh tế Kỹ thuật</v>
          </cell>
          <cell r="E40" t="str">
            <v>Đại Học</v>
          </cell>
          <cell r="F40" t="str">
            <v>Kỹ sư Thuỷ lợi</v>
          </cell>
          <cell r="G40">
            <v>37998</v>
          </cell>
          <cell r="H40" t="str">
            <v>Chuyên viên</v>
          </cell>
          <cell r="I40">
            <v>37998</v>
          </cell>
          <cell r="J40">
            <v>3750000</v>
          </cell>
          <cell r="K40">
            <v>5000000</v>
          </cell>
          <cell r="M40" t="str">
            <v>5.5</v>
          </cell>
        </row>
        <row r="41">
          <cell r="B41" t="str">
            <v>Nguyễn Tất Thắng</v>
          </cell>
          <cell r="C41" t="str">
            <v>Trưởng phòng</v>
          </cell>
          <cell r="D41" t="str">
            <v>Phòng Cơ giới Vật tư</v>
          </cell>
          <cell r="E41" t="str">
            <v>Đại Học</v>
          </cell>
          <cell r="F41" t="str">
            <v>KS Máy xây dựng</v>
          </cell>
          <cell r="G41">
            <v>33970</v>
          </cell>
          <cell r="H41" t="str">
            <v>Trưởng phòng</v>
          </cell>
          <cell r="I41">
            <v>38631</v>
          </cell>
          <cell r="J41">
            <v>7500000</v>
          </cell>
          <cell r="K41">
            <v>9000000</v>
          </cell>
          <cell r="M41" t="str">
            <v>10.0</v>
          </cell>
        </row>
        <row r="42">
          <cell r="B42" t="str">
            <v>Nguyễn Sĩ Đài</v>
          </cell>
          <cell r="C42" t="str">
            <v>Phó phòng</v>
          </cell>
          <cell r="D42" t="str">
            <v>Phòng Cơ giới Vật tư</v>
          </cell>
          <cell r="E42" t="str">
            <v>Đại Học</v>
          </cell>
          <cell r="F42" t="str">
            <v>Quản trị kinh doanh</v>
          </cell>
          <cell r="G42">
            <v>32876</v>
          </cell>
          <cell r="H42" t="str">
            <v>Phó phòng</v>
          </cell>
          <cell r="I42">
            <v>38631</v>
          </cell>
          <cell r="J42">
            <v>5750000</v>
          </cell>
          <cell r="K42">
            <v>7200000</v>
          </cell>
          <cell r="M42" t="str">
            <v>8.0</v>
          </cell>
        </row>
        <row r="43">
          <cell r="B43" t="str">
            <v>Phạm Hữu Phước</v>
          </cell>
          <cell r="C43" t="str">
            <v>Nhân viên kỹ thuật</v>
          </cell>
          <cell r="D43" t="str">
            <v>Phòng Cơ giới Vật tư</v>
          </cell>
          <cell r="E43" t="str">
            <v>Đại Học</v>
          </cell>
          <cell r="F43" t="str">
            <v>Kỹ sư Máy Xây dựng và xếp dỡ</v>
          </cell>
          <cell r="G43">
            <v>37992</v>
          </cell>
          <cell r="H43" t="str">
            <v>Cán bộ kỹ thuật</v>
          </cell>
          <cell r="I43">
            <v>37992</v>
          </cell>
          <cell r="J43">
            <v>4000000</v>
          </cell>
          <cell r="K43">
            <v>5000000</v>
          </cell>
          <cell r="M43" t="str">
            <v>5.5</v>
          </cell>
        </row>
        <row r="44">
          <cell r="B44" t="str">
            <v>Đỗ Phương Nga</v>
          </cell>
          <cell r="C44" t="str">
            <v>Nhân viên kỹ thuật</v>
          </cell>
          <cell r="D44" t="str">
            <v>Phòng Cơ giới Vật tư</v>
          </cell>
          <cell r="E44" t="str">
            <v>Đại Học</v>
          </cell>
          <cell r="F44" t="str">
            <v>KS Máy mỏ</v>
          </cell>
          <cell r="G44">
            <v>31056</v>
          </cell>
          <cell r="H44" t="str">
            <v>Chuyên viên</v>
          </cell>
          <cell r="I44">
            <v>31056</v>
          </cell>
          <cell r="J44">
            <v>4500000</v>
          </cell>
          <cell r="K44">
            <v>5500000</v>
          </cell>
          <cell r="M44" t="str">
            <v>6.0</v>
          </cell>
        </row>
        <row r="45">
          <cell r="B45" t="str">
            <v>Đào Duy Hải</v>
          </cell>
          <cell r="C45" t="str">
            <v>Nhân viên thủ kho vật tư</v>
          </cell>
          <cell r="D45" t="str">
            <v>Phòng Cơ giới Vật tư</v>
          </cell>
          <cell r="E45" t="str">
            <v>Trung cấp</v>
          </cell>
          <cell r="F45" t="str">
            <v>Trung cấp Máy xây dựng</v>
          </cell>
          <cell r="G45">
            <v>29597</v>
          </cell>
          <cell r="H45" t="str">
            <v>Nhân viên</v>
          </cell>
          <cell r="I45">
            <v>29597</v>
          </cell>
          <cell r="J45">
            <v>3750000</v>
          </cell>
          <cell r="K45">
            <v>4500000</v>
          </cell>
          <cell r="M45" t="str">
            <v>5.0</v>
          </cell>
        </row>
        <row r="46">
          <cell r="B46" t="str">
            <v>Bùi Văn Lâm</v>
          </cell>
          <cell r="C46" t="str">
            <v>Công nhân sửa chữa</v>
          </cell>
          <cell r="D46" t="str">
            <v>Phòng Cơ giới Vật tư</v>
          </cell>
          <cell r="E46" t="str">
            <v>Công nhân Kỹ thuật</v>
          </cell>
          <cell r="F46" t="str">
            <v>Công nhân Sửa chữa</v>
          </cell>
          <cell r="G46">
            <v>31419</v>
          </cell>
          <cell r="H46" t="str">
            <v>Tổ trưởng</v>
          </cell>
          <cell r="I46">
            <v>31419</v>
          </cell>
          <cell r="J46">
            <v>4000000</v>
          </cell>
          <cell r="K46">
            <v>4500000</v>
          </cell>
          <cell r="M46" t="str">
            <v>4.5</v>
          </cell>
        </row>
        <row r="47">
          <cell r="B47" t="str">
            <v>Phạm Thuyên</v>
          </cell>
          <cell r="C47" t="str">
            <v>Trưởng ban</v>
          </cell>
          <cell r="D47" t="str">
            <v>Ban quản lý các dự án đầu tư</v>
          </cell>
          <cell r="E47" t="str">
            <v>Đại Học</v>
          </cell>
          <cell r="F47" t="str">
            <v>Kỹ Sư Đô thị</v>
          </cell>
          <cell r="G47">
            <v>38361</v>
          </cell>
          <cell r="H47" t="str">
            <v>Trưởng Ban</v>
          </cell>
          <cell r="I47" t="str">
            <v>22/6/2010</v>
          </cell>
          <cell r="J47">
            <v>5750000</v>
          </cell>
          <cell r="K47">
            <v>8000000</v>
          </cell>
          <cell r="M47" t="str">
            <v>10.0</v>
          </cell>
        </row>
        <row r="48">
          <cell r="B48" t="str">
            <v>Nguyễn Văn Tâm</v>
          </cell>
          <cell r="C48" t="str">
            <v>Phó ban</v>
          </cell>
          <cell r="D48" t="str">
            <v>Ban quản lý các dự án đầu tư</v>
          </cell>
          <cell r="E48" t="str">
            <v>Đại Học</v>
          </cell>
          <cell r="F48" t="str">
            <v>KS Khai thác lộ thiên</v>
          </cell>
          <cell r="G48">
            <v>38764</v>
          </cell>
          <cell r="H48" t="str">
            <v>Phó Ban</v>
          </cell>
          <cell r="I48">
            <v>39821</v>
          </cell>
          <cell r="J48">
            <v>5750000</v>
          </cell>
          <cell r="K48">
            <v>7200000</v>
          </cell>
          <cell r="M48" t="str">
            <v>8.0</v>
          </cell>
        </row>
        <row r="49">
          <cell r="B49" t="str">
            <v>Nguyễn Đình nghĩa</v>
          </cell>
          <cell r="C49" t="str">
            <v>Phó ban</v>
          </cell>
          <cell r="D49" t="str">
            <v>Ban quản lý các dự án đầu tư</v>
          </cell>
          <cell r="E49" t="str">
            <v>Thạc sỹ</v>
          </cell>
          <cell r="F49" t="str">
            <v>Thạc sĩ Quản trị kinh doanh</v>
          </cell>
          <cell r="G49">
            <v>37633</v>
          </cell>
          <cell r="H49" t="str">
            <v>Phó Ban</v>
          </cell>
          <cell r="I49">
            <v>40185</v>
          </cell>
          <cell r="J49">
            <v>0</v>
          </cell>
          <cell r="K49">
            <v>7200000</v>
          </cell>
          <cell r="M49" t="str">
            <v>8.0</v>
          </cell>
        </row>
        <row r="50">
          <cell r="B50" t="str">
            <v>Phạm Thế Minh</v>
          </cell>
          <cell r="C50" t="str">
            <v>Nhân viên kỹ thuật</v>
          </cell>
          <cell r="D50" t="str">
            <v>Ban quản lý các dự án đầu tư</v>
          </cell>
          <cell r="E50" t="str">
            <v>Đại Học</v>
          </cell>
          <cell r="F50" t="str">
            <v>KS Xây dựng</v>
          </cell>
          <cell r="G50">
            <v>39824</v>
          </cell>
          <cell r="H50" t="str">
            <v>Cán bộ kỹ thuật</v>
          </cell>
          <cell r="I50">
            <v>39824</v>
          </cell>
          <cell r="J50">
            <v>4000000</v>
          </cell>
          <cell r="K50">
            <v>4500000</v>
          </cell>
          <cell r="M50" t="str">
            <v>4.5</v>
          </cell>
        </row>
        <row r="51">
          <cell r="B51" t="str">
            <v>Nguyễn Hoàng</v>
          </cell>
          <cell r="C51" t="str">
            <v>Nhân viên kỹ thuật</v>
          </cell>
          <cell r="D51" t="str">
            <v>Ban quản lý các dự án đầu tư</v>
          </cell>
          <cell r="E51" t="str">
            <v>Đại Học</v>
          </cell>
          <cell r="F51" t="str">
            <v>Kiến trúc sư</v>
          </cell>
          <cell r="G51">
            <v>40042</v>
          </cell>
          <cell r="H51" t="str">
            <v>Chuyên viên</v>
          </cell>
          <cell r="I51">
            <v>40042</v>
          </cell>
          <cell r="J51">
            <v>4000000</v>
          </cell>
          <cell r="K51">
            <v>4500000</v>
          </cell>
          <cell r="M51" t="str">
            <v>5.0</v>
          </cell>
        </row>
        <row r="52">
          <cell r="B52" t="str">
            <v>Nguyễn Khánh Trường</v>
          </cell>
          <cell r="C52" t="str">
            <v>Nhân viên kỹ thuật</v>
          </cell>
          <cell r="D52">
            <v>0</v>
          </cell>
          <cell r="E52" t="str">
            <v>Đại Học</v>
          </cell>
          <cell r="F52" t="str">
            <v>Kỹ sư XD Đô thị</v>
          </cell>
          <cell r="G52">
            <v>40315</v>
          </cell>
          <cell r="H52" t="str">
            <v>Chuyên viên</v>
          </cell>
          <cell r="I52">
            <v>40315</v>
          </cell>
          <cell r="J52">
            <v>0</v>
          </cell>
          <cell r="K52">
            <v>4500000</v>
          </cell>
          <cell r="M52" t="str">
            <v>5.0</v>
          </cell>
        </row>
        <row r="53">
          <cell r="B53" t="str">
            <v>Đặng Ngọc Sơn</v>
          </cell>
          <cell r="C53" t="str">
            <v>Nhân viên kỹ thuật</v>
          </cell>
          <cell r="D53" t="str">
            <v>Ban quản lý các dự án đầu tư</v>
          </cell>
          <cell r="E53" t="str">
            <v>Đại Học</v>
          </cell>
          <cell r="F53" t="str">
            <v>KS Kinh tế xây dựng</v>
          </cell>
          <cell r="G53">
            <v>40459</v>
          </cell>
          <cell r="H53" t="str">
            <v>Cán bộ kỹ thuật</v>
          </cell>
          <cell r="I53">
            <v>40459</v>
          </cell>
          <cell r="J53">
            <v>0</v>
          </cell>
          <cell r="K53">
            <v>4500000</v>
          </cell>
          <cell r="M53" t="str">
            <v>4.50</v>
          </cell>
        </row>
        <row r="54">
          <cell r="B54" t="str">
            <v>Đinh Thị Thúy Hường</v>
          </cell>
          <cell r="C54" t="str">
            <v>Nhân viên văn phòng</v>
          </cell>
          <cell r="D54" t="str">
            <v>Ban quản lý các dự án đầu tư</v>
          </cell>
          <cell r="E54" t="str">
            <v>Đại Học</v>
          </cell>
          <cell r="F54" t="str">
            <v>Cử nhân Du lịch</v>
          </cell>
          <cell r="G54">
            <v>39701</v>
          </cell>
          <cell r="H54" t="str">
            <v>Nhân viên</v>
          </cell>
          <cell r="I54">
            <v>39701</v>
          </cell>
          <cell r="J54">
            <v>2500000</v>
          </cell>
          <cell r="K54">
            <v>3700000</v>
          </cell>
          <cell r="M54" t="str">
            <v>4.0</v>
          </cell>
        </row>
        <row r="55">
          <cell r="B55" t="str">
            <v>Nguyên Thị Châm</v>
          </cell>
          <cell r="C55" t="str">
            <v>Nhân viên văn phòng</v>
          </cell>
          <cell r="D55" t="str">
            <v>Ban quản lý các dự án đầu tư</v>
          </cell>
          <cell r="E55" t="str">
            <v>Đại Học</v>
          </cell>
          <cell r="F55" t="str">
            <v>Tài chính Kế toán</v>
          </cell>
          <cell r="G55">
            <v>38360</v>
          </cell>
          <cell r="H55" t="str">
            <v>Nhân viên</v>
          </cell>
          <cell r="I55">
            <v>38360</v>
          </cell>
          <cell r="J55">
            <v>3000000</v>
          </cell>
          <cell r="K55">
            <v>3700000</v>
          </cell>
          <cell r="M55" t="str">
            <v>4.0</v>
          </cell>
        </row>
        <row r="56">
          <cell r="B56" t="str">
            <v>Phạm Thanh Hùng</v>
          </cell>
          <cell r="C56" t="str">
            <v>Trưởng ban</v>
          </cell>
          <cell r="D56" t="str">
            <v>Ban 25</v>
          </cell>
          <cell r="E56" t="str">
            <v>Đại Học</v>
          </cell>
          <cell r="F56" t="str">
            <v>Kỹ sư Kinh tế Xây dựng; Kỹ sư cầu đường bộ</v>
          </cell>
          <cell r="G56">
            <v>36903</v>
          </cell>
          <cell r="H56" t="str">
            <v>Trưởng Ban</v>
          </cell>
          <cell r="I56">
            <v>40364</v>
          </cell>
          <cell r="J56">
            <v>5750000</v>
          </cell>
          <cell r="K56">
            <v>9300000</v>
          </cell>
          <cell r="L56" t="str">
            <v>Bí thư Đoàn thanh niên Công ty</v>
          </cell>
          <cell r="M56">
            <v>12</v>
          </cell>
        </row>
        <row r="57">
          <cell r="B57" t="str">
            <v>Vũ Trọng Long</v>
          </cell>
          <cell r="C57" t="str">
            <v>Phó ban</v>
          </cell>
          <cell r="D57" t="str">
            <v>Ban 25</v>
          </cell>
          <cell r="E57" t="str">
            <v>Đại Học</v>
          </cell>
          <cell r="F57" t="str">
            <v>Kỹ Sư Xây dựng Dân dụng và Công nghiệp</v>
          </cell>
          <cell r="G57">
            <v>39542</v>
          </cell>
          <cell r="H57" t="str">
            <v>Phó Ban</v>
          </cell>
          <cell r="I57" t="str">
            <v>15/8/2009</v>
          </cell>
          <cell r="J57">
            <v>5000000</v>
          </cell>
          <cell r="K57">
            <v>8000000</v>
          </cell>
          <cell r="M57">
            <v>9.1999999999999993</v>
          </cell>
        </row>
        <row r="58">
          <cell r="B58" t="str">
            <v>Vũ Đình Thắng</v>
          </cell>
          <cell r="C58" t="str">
            <v>Trưởng nhóm</v>
          </cell>
          <cell r="D58" t="str">
            <v>Ban 25</v>
          </cell>
          <cell r="E58" t="str">
            <v>Đại Học</v>
          </cell>
          <cell r="F58" t="str">
            <v>Kỹ sư Điện khí hoá</v>
          </cell>
          <cell r="G58">
            <v>39309</v>
          </cell>
          <cell r="H58" t="str">
            <v>Cán bộ kỹ thuật</v>
          </cell>
          <cell r="I58">
            <v>39309</v>
          </cell>
          <cell r="J58">
            <v>4500000</v>
          </cell>
          <cell r="K58">
            <v>7000000</v>
          </cell>
          <cell r="M58">
            <v>8.3000000000000007</v>
          </cell>
        </row>
        <row r="59">
          <cell r="B59" t="str">
            <v>Nguyễn Mạnh Duy</v>
          </cell>
          <cell r="C59" t="str">
            <v>Trưởng nhóm</v>
          </cell>
          <cell r="D59" t="str">
            <v>Ban 25</v>
          </cell>
          <cell r="E59" t="str">
            <v>Đại Học</v>
          </cell>
          <cell r="F59" t="str">
            <v>KSTrắc Địa</v>
          </cell>
          <cell r="G59">
            <v>37998</v>
          </cell>
          <cell r="H59" t="str">
            <v>Cán bộ kỹ thuật</v>
          </cell>
          <cell r="I59">
            <v>37998</v>
          </cell>
          <cell r="J59">
            <v>4500000</v>
          </cell>
          <cell r="K59">
            <v>6000000</v>
          </cell>
          <cell r="M59">
            <v>7.8</v>
          </cell>
        </row>
        <row r="60">
          <cell r="B60" t="str">
            <v>Đào Hồng Anh</v>
          </cell>
          <cell r="E60" t="str">
            <v>Đại Học</v>
          </cell>
          <cell r="G60">
            <v>40188</v>
          </cell>
          <cell r="I60">
            <v>40188</v>
          </cell>
        </row>
        <row r="61">
          <cell r="B61" t="str">
            <v>Dương Quốc Hùng</v>
          </cell>
          <cell r="C61" t="str">
            <v>Nhân viên kỹ thuật</v>
          </cell>
          <cell r="D61" t="str">
            <v>Ban 25</v>
          </cell>
          <cell r="E61" t="str">
            <v>Đại Học</v>
          </cell>
          <cell r="F61" t="str">
            <v>KS Xây dựng</v>
          </cell>
          <cell r="G61">
            <v>40406</v>
          </cell>
          <cell r="H61" t="str">
            <v>Cán bộ kỹ thuật</v>
          </cell>
          <cell r="I61">
            <v>40406</v>
          </cell>
          <cell r="J61">
            <v>0</v>
          </cell>
          <cell r="K61" t="str">
            <v>mới đến</v>
          </cell>
          <cell r="M61" t="str">
            <v>8.0</v>
          </cell>
        </row>
        <row r="62">
          <cell r="B62" t="str">
            <v>Nguyễn Văn Quyết</v>
          </cell>
          <cell r="C62" t="str">
            <v>Nhân viên kỹ thuật</v>
          </cell>
          <cell r="D62" t="str">
            <v>Ban 25</v>
          </cell>
          <cell r="E62" t="str">
            <v>Đại Học</v>
          </cell>
          <cell r="F62" t="str">
            <v>KS Điện</v>
          </cell>
          <cell r="G62">
            <v>40179</v>
          </cell>
          <cell r="H62" t="str">
            <v>Cán bộ kỹ thuật</v>
          </cell>
          <cell r="I62">
            <v>40179</v>
          </cell>
          <cell r="J62">
            <v>0</v>
          </cell>
          <cell r="K62">
            <v>4500000</v>
          </cell>
          <cell r="M62">
            <v>5</v>
          </cell>
        </row>
        <row r="63">
          <cell r="B63" t="str">
            <v>Hoàng Mai Hòa</v>
          </cell>
          <cell r="C63" t="str">
            <v>Nhân viên kỹ thuật</v>
          </cell>
          <cell r="D63" t="str">
            <v>Ban 25</v>
          </cell>
          <cell r="E63" t="str">
            <v>Đại Học</v>
          </cell>
          <cell r="F63" t="str">
            <v>KS XD Cấp thoát nước</v>
          </cell>
          <cell r="G63">
            <v>40273</v>
          </cell>
          <cell r="H63" t="str">
            <v>Cán bộ kỹ thuật</v>
          </cell>
          <cell r="I63">
            <v>40273</v>
          </cell>
          <cell r="J63">
            <v>0</v>
          </cell>
          <cell r="K63">
            <v>4200000</v>
          </cell>
          <cell r="M63">
            <v>4.4000000000000004</v>
          </cell>
        </row>
        <row r="64">
          <cell r="B64" t="str">
            <v>Nguyễn Thị Thuyên</v>
          </cell>
          <cell r="C64" t="str">
            <v>Nhân viên kỹ thuật</v>
          </cell>
          <cell r="D64" t="str">
            <v>Ban 25</v>
          </cell>
          <cell r="E64" t="str">
            <v>Trung cấp</v>
          </cell>
          <cell r="F64" t="str">
            <v>Trung cấp Trắc địa</v>
          </cell>
          <cell r="G64">
            <v>38718</v>
          </cell>
          <cell r="H64" t="str">
            <v>Nhân viên</v>
          </cell>
          <cell r="I64">
            <v>38718</v>
          </cell>
          <cell r="J64">
            <v>3300000</v>
          </cell>
          <cell r="K64">
            <v>4000000</v>
          </cell>
          <cell r="M64">
            <v>4.4000000000000004</v>
          </cell>
        </row>
        <row r="65">
          <cell r="B65" t="str">
            <v>Nguyễn Khắc Lợi</v>
          </cell>
          <cell r="C65" t="str">
            <v>Nhân viên Bảo vệ</v>
          </cell>
          <cell r="D65" t="str">
            <v>Ban 25</v>
          </cell>
          <cell r="E65" t="str">
            <v>Lao động phổ thông</v>
          </cell>
          <cell r="F65" t="str">
            <v>Lao động Phổ thông</v>
          </cell>
          <cell r="G65">
            <v>37631</v>
          </cell>
          <cell r="H65" t="str">
            <v>Nhân viên</v>
          </cell>
          <cell r="I65">
            <v>37631</v>
          </cell>
          <cell r="J65">
            <v>2500000</v>
          </cell>
          <cell r="K65">
            <v>3150000</v>
          </cell>
          <cell r="M65">
            <v>3.3</v>
          </cell>
        </row>
        <row r="66">
          <cell r="B66" t="str">
            <v>Hoàng Hữu Hiển</v>
          </cell>
          <cell r="C66" t="str">
            <v>Nhân viên Bảo vệ</v>
          </cell>
          <cell r="D66" t="str">
            <v>Ban 25</v>
          </cell>
          <cell r="E66" t="str">
            <v>Lao động phổ thông</v>
          </cell>
          <cell r="F66" t="str">
            <v>Lao động Phổ thông</v>
          </cell>
          <cell r="G66">
            <v>38359</v>
          </cell>
          <cell r="H66" t="str">
            <v>Công nhân</v>
          </cell>
          <cell r="I66">
            <v>38359</v>
          </cell>
          <cell r="J66">
            <v>2500000</v>
          </cell>
          <cell r="K66">
            <v>3450000</v>
          </cell>
          <cell r="M66">
            <v>3.63</v>
          </cell>
        </row>
        <row r="67">
          <cell r="B67" t="str">
            <v>Mai Trọng Tấn</v>
          </cell>
          <cell r="C67" t="str">
            <v>Nhân viên Bảo vệ</v>
          </cell>
          <cell r="D67" t="str">
            <v>Ban 25</v>
          </cell>
          <cell r="E67" t="str">
            <v>Lao động phổ thông</v>
          </cell>
          <cell r="F67" t="str">
            <v>Công nhân Bảo vệ</v>
          </cell>
          <cell r="G67">
            <v>39633</v>
          </cell>
          <cell r="H67" t="str">
            <v>Công nhân</v>
          </cell>
          <cell r="I67">
            <v>39633</v>
          </cell>
          <cell r="J67">
            <v>2500000</v>
          </cell>
          <cell r="K67">
            <v>3150000</v>
          </cell>
          <cell r="M67">
            <v>3.3</v>
          </cell>
        </row>
        <row r="68">
          <cell r="B68" t="str">
            <v>Đỗ Hà Trường</v>
          </cell>
          <cell r="C68" t="str">
            <v>Trưởng ban</v>
          </cell>
          <cell r="D68" t="str">
            <v>Ban chuẩn bị thành lập CT</v>
          </cell>
          <cell r="E68" t="str">
            <v>Thạc sĩ</v>
          </cell>
          <cell r="F68" t="str">
            <v>Thạc sĩ Kinh tế</v>
          </cell>
          <cell r="G68">
            <v>40337</v>
          </cell>
          <cell r="H68" t="str">
            <v>Trưởng Ban</v>
          </cell>
          <cell r="I68">
            <v>40337</v>
          </cell>
          <cell r="J68">
            <v>0</v>
          </cell>
          <cell r="K68" t="str">
            <v>Mới đến Công ty</v>
          </cell>
          <cell r="M68" t="str">
            <v>10.0</v>
          </cell>
        </row>
        <row r="69">
          <cell r="B69" t="str">
            <v>Nguyễn Quốc Anh</v>
          </cell>
          <cell r="C69" t="str">
            <v>Nhân viên</v>
          </cell>
          <cell r="D69" t="str">
            <v>Ban chuẩn bị thành lập CT</v>
          </cell>
          <cell r="E69" t="str">
            <v>Đại Học</v>
          </cell>
          <cell r="F69" t="str">
            <v>Cử nhân Kế toán</v>
          </cell>
          <cell r="G69">
            <v>40490</v>
          </cell>
          <cell r="H69" t="str">
            <v>Chuyên viên</v>
          </cell>
          <cell r="I69">
            <v>40490</v>
          </cell>
          <cell r="J69">
            <v>0</v>
          </cell>
          <cell r="K69" t="str">
            <v>Mới đến Công ty</v>
          </cell>
          <cell r="M69" t="str">
            <v>6.0</v>
          </cell>
        </row>
        <row r="70">
          <cell r="B70" t="str">
            <v>Lê Thị Lan Anh</v>
          </cell>
          <cell r="C70" t="str">
            <v>Nhân viên</v>
          </cell>
          <cell r="D70" t="str">
            <v>Ban chuẩn bị thành lập CT</v>
          </cell>
          <cell r="E70" t="str">
            <v>Đại Học</v>
          </cell>
          <cell r="F70" t="str">
            <v>Cử nhân Kinh tế</v>
          </cell>
          <cell r="G70">
            <v>40410</v>
          </cell>
          <cell r="H70" t="str">
            <v>Chuyên viên</v>
          </cell>
          <cell r="I70">
            <v>40410</v>
          </cell>
          <cell r="J70">
            <v>0</v>
          </cell>
          <cell r="K70" t="str">
            <v>Mới đến Công ty</v>
          </cell>
          <cell r="M70" t="str">
            <v>5.0</v>
          </cell>
        </row>
        <row r="71">
          <cell r="B71" t="str">
            <v>Trần Văn Nhã</v>
          </cell>
          <cell r="C71" t="str">
            <v>Nhân viên</v>
          </cell>
          <cell r="D71" t="str">
            <v>Ban chuẩn bị thành lập CT</v>
          </cell>
          <cell r="E71" t="str">
            <v>Đại Học</v>
          </cell>
          <cell r="F71" t="str">
            <v>Cử nhân Kinh tế</v>
          </cell>
          <cell r="G71">
            <v>40414</v>
          </cell>
          <cell r="H71" t="str">
            <v>Chuyên viên</v>
          </cell>
          <cell r="I71">
            <v>40414</v>
          </cell>
          <cell r="J71">
            <v>0</v>
          </cell>
          <cell r="K71" t="str">
            <v>Mới đến Công ty</v>
          </cell>
          <cell r="M71" t="str">
            <v>6.0</v>
          </cell>
        </row>
        <row r="72">
          <cell r="B72" t="str">
            <v>Vũ Thị Nguyệt Ánh</v>
          </cell>
          <cell r="C72" t="str">
            <v>Nhân viên</v>
          </cell>
          <cell r="D72" t="str">
            <v>Ban chuẩn bị thành lập CT</v>
          </cell>
          <cell r="E72" t="str">
            <v>Đại Học</v>
          </cell>
          <cell r="F72" t="str">
            <v>Tài chính Kế toán</v>
          </cell>
          <cell r="G72">
            <v>40408</v>
          </cell>
          <cell r="H72" t="str">
            <v>Chuyên viên</v>
          </cell>
          <cell r="I72">
            <v>40408</v>
          </cell>
          <cell r="J72">
            <v>0</v>
          </cell>
          <cell r="K72" t="str">
            <v>Mới đến Công ty</v>
          </cell>
          <cell r="M72" t="str">
            <v>5.0</v>
          </cell>
        </row>
        <row r="73">
          <cell r="B73" t="str">
            <v>Vũ Tuấn Tùng</v>
          </cell>
          <cell r="C73" t="str">
            <v>Nhân viên</v>
          </cell>
          <cell r="D73" t="str">
            <v>Ban chuẩn bị thành lập CT</v>
          </cell>
          <cell r="E73" t="str">
            <v>Đại Học</v>
          </cell>
          <cell r="F73" t="str">
            <v>Kỹ sư Công nghệ chế tạo máy</v>
          </cell>
          <cell r="G73">
            <v>40490</v>
          </cell>
          <cell r="H73" t="str">
            <v>Chuyên viên</v>
          </cell>
          <cell r="I73">
            <v>40490</v>
          </cell>
          <cell r="J73">
            <v>0</v>
          </cell>
          <cell r="K73" t="str">
            <v>Mới đến Công ty</v>
          </cell>
          <cell r="M73" t="str">
            <v>6.0</v>
          </cell>
        </row>
        <row r="74">
          <cell r="B74" t="str">
            <v>Phan Đăng Tiến</v>
          </cell>
          <cell r="C74" t="str">
            <v>Trưởng ban</v>
          </cell>
          <cell r="D74" t="str">
            <v>Ban quản lý nhà LICOGI 13</v>
          </cell>
          <cell r="E74" t="str">
            <v>Đại Học</v>
          </cell>
          <cell r="F74" t="str">
            <v>Kỹ sư XD Cầu đường</v>
          </cell>
          <cell r="G74">
            <v>32151</v>
          </cell>
          <cell r="H74" t="str">
            <v>Trưởng Ban</v>
          </cell>
          <cell r="I74" t="str">
            <v>17/01/2008</v>
          </cell>
          <cell r="J74">
            <v>7500000</v>
          </cell>
          <cell r="K74">
            <v>9500000</v>
          </cell>
          <cell r="M74">
            <v>10</v>
          </cell>
        </row>
        <row r="75">
          <cell r="B75" t="str">
            <v>Hoàng Duyến</v>
          </cell>
          <cell r="C75" t="str">
            <v>Phó ban</v>
          </cell>
          <cell r="D75" t="str">
            <v>Ban quản lý nhà LICOGI 13</v>
          </cell>
          <cell r="E75" t="str">
            <v>Đại Học</v>
          </cell>
          <cell r="F75" t="str">
            <v>Quản trị kinh doanh</v>
          </cell>
          <cell r="G75">
            <v>39091</v>
          </cell>
          <cell r="H75" t="str">
            <v>Phó Ban</v>
          </cell>
          <cell r="I75">
            <v>39816</v>
          </cell>
          <cell r="J75">
            <v>4791666.666666667</v>
          </cell>
          <cell r="K75">
            <v>7500000</v>
          </cell>
          <cell r="M75">
            <v>8</v>
          </cell>
        </row>
        <row r="76">
          <cell r="B76" t="str">
            <v>Nguyễn Mạnh Dũng</v>
          </cell>
          <cell r="C76" t="str">
            <v>Nhân viên kinh doanh</v>
          </cell>
          <cell r="D76" t="str">
            <v>Ban quản lý nhà LICOGI 13</v>
          </cell>
          <cell r="E76" t="str">
            <v>Đại Học</v>
          </cell>
          <cell r="F76" t="str">
            <v xml:space="preserve">Cử nhân Quản trị kinh doanh  </v>
          </cell>
          <cell r="G76">
            <v>39084</v>
          </cell>
          <cell r="H76" t="str">
            <v>Chuyên viên</v>
          </cell>
          <cell r="I76">
            <v>39084</v>
          </cell>
          <cell r="J76">
            <v>3750000</v>
          </cell>
          <cell r="K76">
            <v>4500000</v>
          </cell>
          <cell r="M76">
            <v>5</v>
          </cell>
        </row>
        <row r="77">
          <cell r="B77" t="str">
            <v>Trương Quang Tiến</v>
          </cell>
          <cell r="C77" t="str">
            <v>Nhân viên kinh doanh</v>
          </cell>
          <cell r="D77" t="str">
            <v>Ban quản lý nhà LICOGI 13</v>
          </cell>
          <cell r="E77" t="str">
            <v>Đại Học</v>
          </cell>
          <cell r="F77" t="str">
            <v>Tài chính Kế toán</v>
          </cell>
          <cell r="G77">
            <v>39091</v>
          </cell>
          <cell r="H77" t="str">
            <v>Chuyên viên</v>
          </cell>
          <cell r="I77">
            <v>39091</v>
          </cell>
          <cell r="J77">
            <v>4000000</v>
          </cell>
          <cell r="K77">
            <v>5000000</v>
          </cell>
          <cell r="M77">
            <v>5.5</v>
          </cell>
        </row>
        <row r="78">
          <cell r="B78" t="str">
            <v>Nguyễn Thị Thu Hiền (A)</v>
          </cell>
          <cell r="C78" t="str">
            <v>Nhân viên văn phòng</v>
          </cell>
          <cell r="D78" t="str">
            <v>Ban quản lý nhà LICOGI 13</v>
          </cell>
          <cell r="E78" t="str">
            <v>Trung cấp</v>
          </cell>
          <cell r="F78" t="str">
            <v xml:space="preserve">Trung cấp Kế toán </v>
          </cell>
          <cell r="G78">
            <v>39093</v>
          </cell>
          <cell r="H78" t="str">
            <v>Nhân viên</v>
          </cell>
          <cell r="I78">
            <v>39093</v>
          </cell>
          <cell r="J78">
            <v>2500000</v>
          </cell>
          <cell r="K78">
            <v>3750000</v>
          </cell>
          <cell r="M78">
            <v>4</v>
          </cell>
        </row>
        <row r="79">
          <cell r="B79" t="str">
            <v>Nguyễn Thị Phương Lan</v>
          </cell>
          <cell r="C79" t="str">
            <v>Nhân viên văn phòng</v>
          </cell>
          <cell r="D79" t="str">
            <v>Ban quản lý nhà LICOGI 13</v>
          </cell>
          <cell r="E79" t="str">
            <v>Trung cấp</v>
          </cell>
          <cell r="F79" t="str">
            <v>Trung cấp Tài chính kế toán</v>
          </cell>
          <cell r="G79">
            <v>35434</v>
          </cell>
          <cell r="H79" t="str">
            <v>Nhân viên</v>
          </cell>
          <cell r="I79">
            <v>35434</v>
          </cell>
          <cell r="J79">
            <v>2500000</v>
          </cell>
          <cell r="K79">
            <v>3750000</v>
          </cell>
          <cell r="M79">
            <v>4</v>
          </cell>
        </row>
        <row r="80">
          <cell r="B80" t="str">
            <v>Ngô Thị Hoà</v>
          </cell>
          <cell r="C80" t="str">
            <v>Nhân viên văn phòng</v>
          </cell>
          <cell r="D80" t="str">
            <v>Ban quản lý nhà LICOGI 13</v>
          </cell>
          <cell r="E80" t="str">
            <v>Đại Học</v>
          </cell>
          <cell r="F80" t="str">
            <v>Cử nhân Anh văn</v>
          </cell>
          <cell r="G80">
            <v>39455</v>
          </cell>
          <cell r="H80" t="str">
            <v>Nhân viên</v>
          </cell>
          <cell r="I80">
            <v>39455</v>
          </cell>
          <cell r="J80">
            <v>2500000</v>
          </cell>
          <cell r="K80">
            <v>3500000</v>
          </cell>
          <cell r="M80">
            <v>3.5</v>
          </cell>
        </row>
        <row r="81">
          <cell r="B81" t="str">
            <v>Bùi Thị Loan</v>
          </cell>
          <cell r="C81" t="str">
            <v>Nhân viên văn phòng</v>
          </cell>
          <cell r="D81" t="str">
            <v>Ban quản lý nhà LICOGI 13</v>
          </cell>
          <cell r="E81" t="str">
            <v>Đại Học</v>
          </cell>
          <cell r="F81" t="str">
            <v>Cử nhân Địa lý</v>
          </cell>
          <cell r="G81">
            <v>38724</v>
          </cell>
          <cell r="H81" t="str">
            <v>Nhân viên</v>
          </cell>
          <cell r="I81">
            <v>38724</v>
          </cell>
          <cell r="J81">
            <v>2500000</v>
          </cell>
          <cell r="K81">
            <v>3400000</v>
          </cell>
          <cell r="M81">
            <v>3.8</v>
          </cell>
        </row>
        <row r="82">
          <cell r="B82" t="str">
            <v>Nguyễn Hữu Sơn</v>
          </cell>
          <cell r="C82" t="str">
            <v>Nhân viên văn phòng</v>
          </cell>
          <cell r="D82" t="str">
            <v>Ban quản lý nhà LICOGI 13</v>
          </cell>
          <cell r="E82" t="str">
            <v>Trung cấp</v>
          </cell>
          <cell r="F82" t="str">
            <v xml:space="preserve">Trung cấp Kế hoạch Xí nghiệp </v>
          </cell>
          <cell r="G82">
            <v>27770</v>
          </cell>
          <cell r="H82" t="str">
            <v>Nhân viên</v>
          </cell>
          <cell r="I82">
            <v>27770</v>
          </cell>
          <cell r="J82">
            <v>3000000</v>
          </cell>
          <cell r="K82">
            <v>4100000</v>
          </cell>
          <cell r="M82">
            <v>4.2</v>
          </cell>
        </row>
        <row r="83">
          <cell r="B83" t="str">
            <v>Phạm Văn Mạnh</v>
          </cell>
          <cell r="C83" t="str">
            <v>Tổ trưởng tổ Kỹ thuật</v>
          </cell>
          <cell r="D83" t="str">
            <v>Ban quản lý nhà LICOGI 13</v>
          </cell>
          <cell r="E83" t="str">
            <v>Công nhân Kỹ thuật</v>
          </cell>
          <cell r="F83" t="str">
            <v>Thợ điện</v>
          </cell>
          <cell r="G83">
            <v>40149</v>
          </cell>
          <cell r="H83">
            <v>0</v>
          </cell>
          <cell r="I83">
            <v>40149</v>
          </cell>
          <cell r="J83">
            <v>2100000</v>
          </cell>
          <cell r="K83">
            <v>3500000</v>
          </cell>
          <cell r="M83">
            <v>4.5</v>
          </cell>
        </row>
        <row r="84">
          <cell r="B84" t="str">
            <v>Vũ Thành Dũng</v>
          </cell>
          <cell r="C84" t="str">
            <v>Nhân viên kỹ thuật</v>
          </cell>
          <cell r="D84" t="str">
            <v>Ban quản lý nhà LICOGI 13</v>
          </cell>
          <cell r="E84" t="str">
            <v>Cao đẳng</v>
          </cell>
          <cell r="F84" t="str">
            <v>Cao đẳng Kỹ thuật Thông tin</v>
          </cell>
          <cell r="G84">
            <v>39093</v>
          </cell>
          <cell r="H84" t="str">
            <v>Nhân viên</v>
          </cell>
          <cell r="I84">
            <v>39093</v>
          </cell>
          <cell r="J84">
            <v>2100000</v>
          </cell>
          <cell r="K84">
            <v>2800000</v>
          </cell>
          <cell r="M84">
            <v>3</v>
          </cell>
        </row>
        <row r="85">
          <cell r="B85" t="str">
            <v>Ngô Thị Nhẹ</v>
          </cell>
          <cell r="C85" t="str">
            <v>Nhân viên kỹ thuật</v>
          </cell>
          <cell r="D85" t="str">
            <v>Ban quản lý nhà LICOGI 13</v>
          </cell>
          <cell r="E85" t="str">
            <v>Công nhân Kỹ thuật</v>
          </cell>
          <cell r="F85" t="str">
            <v>Thợ Tiện</v>
          </cell>
          <cell r="G85">
            <v>35440</v>
          </cell>
          <cell r="H85" t="str">
            <v>Công nhân</v>
          </cell>
          <cell r="I85">
            <v>35440</v>
          </cell>
          <cell r="J85">
            <v>2100000</v>
          </cell>
          <cell r="K85">
            <v>3000000</v>
          </cell>
          <cell r="M85">
            <v>3</v>
          </cell>
        </row>
        <row r="86">
          <cell r="B86" t="str">
            <v>Nguyễn Đình Hoài</v>
          </cell>
          <cell r="C86" t="str">
            <v>Nhân viên kỹ thuật</v>
          </cell>
          <cell r="D86" t="str">
            <v>Ban quản lý nhà LICOGI 13</v>
          </cell>
          <cell r="E86" t="str">
            <v>Trung cấp</v>
          </cell>
          <cell r="F86" t="str">
            <v>Trung cấp Điện</v>
          </cell>
          <cell r="G86">
            <v>40009</v>
          </cell>
          <cell r="H86" t="str">
            <v>Nhân viên</v>
          </cell>
          <cell r="I86">
            <v>40009</v>
          </cell>
          <cell r="J86">
            <v>2100000</v>
          </cell>
          <cell r="K86">
            <v>2800000</v>
          </cell>
          <cell r="M86">
            <v>3</v>
          </cell>
        </row>
        <row r="87">
          <cell r="B87" t="str">
            <v>Nguyễn Ngọc Lân</v>
          </cell>
          <cell r="C87" t="str">
            <v>Nhân viên kỹ thuật</v>
          </cell>
          <cell r="D87" t="str">
            <v>Ban quản lý nhà LICOGI 13</v>
          </cell>
          <cell r="E87" t="str">
            <v>Công nhân Kỹ thuật</v>
          </cell>
          <cell r="F87" t="str">
            <v>Công nhân Điện</v>
          </cell>
          <cell r="G87">
            <v>39448</v>
          </cell>
          <cell r="H87" t="str">
            <v>Công nhân</v>
          </cell>
          <cell r="I87">
            <v>39448</v>
          </cell>
          <cell r="J87">
            <v>2100000</v>
          </cell>
          <cell r="K87">
            <v>2800000</v>
          </cell>
          <cell r="M87">
            <v>3</v>
          </cell>
        </row>
        <row r="88">
          <cell r="B88" t="str">
            <v>Đặng Văn Vịnh</v>
          </cell>
          <cell r="C88" t="str">
            <v>Nhân viên kỹ thuật</v>
          </cell>
          <cell r="D88" t="str">
            <v>Ban quản lý nhà LICOGI 13</v>
          </cell>
          <cell r="E88" t="str">
            <v>Công nhân Kỹ thuật</v>
          </cell>
          <cell r="F88" t="str">
            <v>Công nhân Sửa chữa</v>
          </cell>
          <cell r="G88">
            <v>37992</v>
          </cell>
          <cell r="H88" t="str">
            <v>Công nhân</v>
          </cell>
          <cell r="I88">
            <v>37992</v>
          </cell>
          <cell r="J88">
            <v>2100000</v>
          </cell>
          <cell r="K88">
            <v>2800000</v>
          </cell>
          <cell r="M88">
            <v>3</v>
          </cell>
        </row>
        <row r="89">
          <cell r="B89" t="str">
            <v>Lê Hồng Thái</v>
          </cell>
          <cell r="C89" t="str">
            <v>Tổ trưởng Tổ bảo vệ</v>
          </cell>
          <cell r="D89" t="str">
            <v>Ban quản lý nhà LICOGI 13</v>
          </cell>
          <cell r="E89" t="str">
            <v>Lao động phổ thông</v>
          </cell>
          <cell r="F89" t="str">
            <v>Công nhân Bảo vệ</v>
          </cell>
          <cell r="G89">
            <v>30323</v>
          </cell>
          <cell r="H89" t="str">
            <v>Công nhân</v>
          </cell>
          <cell r="I89">
            <v>30323</v>
          </cell>
          <cell r="J89">
            <v>2500000</v>
          </cell>
          <cell r="K89">
            <v>4000000</v>
          </cell>
          <cell r="M89">
            <v>4.5</v>
          </cell>
        </row>
        <row r="90">
          <cell r="B90" t="str">
            <v>Ưng Sĩ Hùng</v>
          </cell>
          <cell r="C90" t="str">
            <v>Nhân viên    Bảo vệ</v>
          </cell>
          <cell r="D90" t="str">
            <v>Ban quản lý nhà LICOGI 13</v>
          </cell>
          <cell r="E90" t="str">
            <v>Lao động phổ thông</v>
          </cell>
          <cell r="F90" t="str">
            <v>Công nhân Bảo vệ</v>
          </cell>
          <cell r="G90">
            <v>35796</v>
          </cell>
          <cell r="H90" t="str">
            <v>Công nhân</v>
          </cell>
          <cell r="I90">
            <v>35796</v>
          </cell>
          <cell r="J90">
            <v>2300000</v>
          </cell>
          <cell r="K90">
            <v>3500000</v>
          </cell>
          <cell r="M90">
            <v>4</v>
          </cell>
        </row>
        <row r="91">
          <cell r="B91" t="str">
            <v>Vũ Văn Mạnh</v>
          </cell>
          <cell r="C91" t="str">
            <v>Nhân viên    Bảo vệ</v>
          </cell>
          <cell r="D91" t="str">
            <v>Ban quản lý nhà LICOGI 13</v>
          </cell>
          <cell r="E91" t="str">
            <v>Trung cấp</v>
          </cell>
          <cell r="F91" t="str">
            <v>Trung cấp Điện</v>
          </cell>
          <cell r="G91">
            <v>40181</v>
          </cell>
          <cell r="H91" t="str">
            <v>Nhân viên</v>
          </cell>
          <cell r="I91">
            <v>40181</v>
          </cell>
          <cell r="J91">
            <v>2200000</v>
          </cell>
          <cell r="K91">
            <v>2800000</v>
          </cell>
          <cell r="M91">
            <v>3</v>
          </cell>
        </row>
        <row r="92">
          <cell r="B92" t="str">
            <v>Hầu Vĩnh Thắng</v>
          </cell>
          <cell r="C92" t="str">
            <v>Nhân viên    Bảo vệ</v>
          </cell>
          <cell r="D92" t="str">
            <v>Ban quản lý nhà LICOGI 13</v>
          </cell>
          <cell r="E92" t="str">
            <v>Trung cấp</v>
          </cell>
          <cell r="F92" t="str">
            <v>Trung cấp Xây dựng</v>
          </cell>
          <cell r="G92">
            <v>39091</v>
          </cell>
          <cell r="H92" t="str">
            <v>Nhân viên</v>
          </cell>
          <cell r="I92">
            <v>39091</v>
          </cell>
          <cell r="J92">
            <v>2200000</v>
          </cell>
          <cell r="K92">
            <v>2800000</v>
          </cell>
          <cell r="M92">
            <v>3</v>
          </cell>
        </row>
        <row r="93">
          <cell r="B93" t="str">
            <v>Hà Minh Hùng</v>
          </cell>
          <cell r="C93" t="str">
            <v>Nhân viên kỹ thuật</v>
          </cell>
          <cell r="D93" t="str">
            <v>Ban quản lý nhà LICOGI 13</v>
          </cell>
          <cell r="E93" t="str">
            <v>Công nhân Kỹ thuật</v>
          </cell>
          <cell r="F93" t="str">
            <v>Công nhân máy san</v>
          </cell>
          <cell r="G93">
            <v>40081</v>
          </cell>
          <cell r="H93" t="str">
            <v>Nhân viên</v>
          </cell>
          <cell r="I93">
            <v>40081</v>
          </cell>
          <cell r="J93">
            <v>2200000</v>
          </cell>
          <cell r="K93">
            <v>2800000</v>
          </cell>
          <cell r="M93">
            <v>3</v>
          </cell>
        </row>
        <row r="94">
          <cell r="B94" t="str">
            <v>Bùi Doãn Thiện</v>
          </cell>
          <cell r="C94" t="str">
            <v>Tổ trưởng BV Quang Minh</v>
          </cell>
          <cell r="D94" t="str">
            <v>Ban quản lý nhà LICOGI 13</v>
          </cell>
          <cell r="E94" t="str">
            <v>Công nhân Kỹ thuật</v>
          </cell>
          <cell r="F94" t="str">
            <v>Công nhân Sắt hàn</v>
          </cell>
          <cell r="G94">
            <v>37995</v>
          </cell>
          <cell r="H94" t="str">
            <v>Công nhân</v>
          </cell>
          <cell r="I94">
            <v>37995</v>
          </cell>
          <cell r="J94">
            <v>2300000</v>
          </cell>
          <cell r="K94">
            <v>3500000</v>
          </cell>
          <cell r="M94">
            <v>4</v>
          </cell>
        </row>
        <row r="95">
          <cell r="B95" t="str">
            <v>Đỗ Kim Giang</v>
          </cell>
          <cell r="C95" t="str">
            <v>Nhân viên    Bảo vệ</v>
          </cell>
          <cell r="D95" t="str">
            <v>Ban quản lý nhà LICOGI 13</v>
          </cell>
          <cell r="E95" t="str">
            <v>Công nhân Kỹ thuật</v>
          </cell>
          <cell r="F95" t="str">
            <v>Công nhân Máy ủi</v>
          </cell>
          <cell r="G95">
            <v>31059</v>
          </cell>
          <cell r="H95" t="str">
            <v>Công nhân</v>
          </cell>
          <cell r="I95">
            <v>31059</v>
          </cell>
          <cell r="J95">
            <v>2200000</v>
          </cell>
          <cell r="K95">
            <v>2800000</v>
          </cell>
          <cell r="M95">
            <v>3</v>
          </cell>
        </row>
        <row r="96">
          <cell r="B96" t="str">
            <v>Khắc Minh Cường</v>
          </cell>
          <cell r="C96" t="str">
            <v>Nhân viên    Bảo vệ</v>
          </cell>
          <cell r="D96" t="str">
            <v>Ban quản lý nhà LICOGI 13</v>
          </cell>
          <cell r="E96" t="str">
            <v>Lao động phổ thông</v>
          </cell>
          <cell r="F96" t="str">
            <v>Lao động Phổ thông</v>
          </cell>
          <cell r="G96">
            <v>37631</v>
          </cell>
          <cell r="H96" t="str">
            <v>Công nhân</v>
          </cell>
          <cell r="I96">
            <v>37631</v>
          </cell>
          <cell r="J96">
            <v>2200000</v>
          </cell>
          <cell r="K96">
            <v>2800000</v>
          </cell>
          <cell r="M96">
            <v>3</v>
          </cell>
        </row>
        <row r="97">
          <cell r="B97" t="str">
            <v>Nguyễn gia Mạnh</v>
          </cell>
          <cell r="C97" t="str">
            <v>Nhân viên    Bảo vệ</v>
          </cell>
          <cell r="D97" t="str">
            <v>Ban quản lý nhà LICOGI 13</v>
          </cell>
          <cell r="E97" t="str">
            <v>Sơ cấp</v>
          </cell>
          <cell r="F97" t="str">
            <v>Công nhân Bảo vệ</v>
          </cell>
          <cell r="G97">
            <v>40184</v>
          </cell>
          <cell r="H97" t="str">
            <v>Nhân viên</v>
          </cell>
          <cell r="I97">
            <v>40184</v>
          </cell>
          <cell r="J97">
            <v>2200000</v>
          </cell>
          <cell r="K97">
            <v>2800000</v>
          </cell>
          <cell r="M97">
            <v>3</v>
          </cell>
        </row>
        <row r="98">
          <cell r="B98" t="str">
            <v>Phạm Quốc Hùng</v>
          </cell>
          <cell r="C98" t="str">
            <v>Nhân viên    Bảo vệ</v>
          </cell>
          <cell r="D98" t="str">
            <v>Ban quản lý nhà LICOGI 13</v>
          </cell>
          <cell r="E98" t="str">
            <v>Công nhân Kỹ thuật</v>
          </cell>
          <cell r="F98" t="str">
            <v>Công nhân Hàn</v>
          </cell>
          <cell r="G98">
            <v>37992</v>
          </cell>
          <cell r="H98" t="str">
            <v>Công nhân</v>
          </cell>
          <cell r="I98">
            <v>37992</v>
          </cell>
          <cell r="J98">
            <v>2200000</v>
          </cell>
          <cell r="K98">
            <v>2800000</v>
          </cell>
          <cell r="M98">
            <v>3</v>
          </cell>
        </row>
        <row r="99">
          <cell r="B99" t="str">
            <v>Nguyễn Thanh Bình</v>
          </cell>
          <cell r="C99" t="str">
            <v>Nhân viên    Bảo vệ</v>
          </cell>
          <cell r="D99" t="str">
            <v>Ban quản lý nhà LICOGI 13</v>
          </cell>
          <cell r="E99" t="str">
            <v>Lao động phổ thông</v>
          </cell>
          <cell r="F99" t="str">
            <v>Công nhân Bảo vệ</v>
          </cell>
          <cell r="G99">
            <v>38508</v>
          </cell>
          <cell r="H99" t="str">
            <v>Công nhân</v>
          </cell>
          <cell r="I99">
            <v>38508</v>
          </cell>
          <cell r="J99">
            <v>2200000</v>
          </cell>
          <cell r="K99">
            <v>2800000</v>
          </cell>
          <cell r="M99">
            <v>3</v>
          </cell>
        </row>
        <row r="100">
          <cell r="B100" t="str">
            <v>Vũ Văn Viễn</v>
          </cell>
          <cell r="C100" t="str">
            <v>Nhân viên    Bảo vệ</v>
          </cell>
          <cell r="D100" t="str">
            <v>Ban quản lý nhà LICOGI 13</v>
          </cell>
          <cell r="E100" t="str">
            <v>Lao động phổ thông</v>
          </cell>
          <cell r="F100" t="str">
            <v>Công nhân Bảo vệ</v>
          </cell>
          <cell r="G100">
            <v>38883</v>
          </cell>
          <cell r="H100" t="str">
            <v>Công nhân</v>
          </cell>
          <cell r="I100">
            <v>38883</v>
          </cell>
          <cell r="J100">
            <v>2200000</v>
          </cell>
          <cell r="K100">
            <v>2800000</v>
          </cell>
          <cell r="M100">
            <v>3</v>
          </cell>
        </row>
        <row r="101">
          <cell r="B101" t="str">
            <v>Phạm Văn Dũng</v>
          </cell>
          <cell r="C101" t="str">
            <v>Nhân viên    Bảo vệ</v>
          </cell>
          <cell r="D101" t="str">
            <v>Ban quản lý nhà LICOGI 13</v>
          </cell>
          <cell r="E101" t="str">
            <v>Công nhân Kỹ thuật</v>
          </cell>
          <cell r="F101" t="str">
            <v>Công nhân Điện</v>
          </cell>
          <cell r="G101">
            <v>39086</v>
          </cell>
          <cell r="H101" t="str">
            <v>Công nhân</v>
          </cell>
          <cell r="I101">
            <v>39086</v>
          </cell>
          <cell r="J101">
            <v>2200000</v>
          </cell>
          <cell r="K101">
            <v>2800000</v>
          </cell>
          <cell r="M101">
            <v>3</v>
          </cell>
        </row>
        <row r="102">
          <cell r="B102" t="str">
            <v>Trịnh Hữu Thắng</v>
          </cell>
          <cell r="C102" t="str">
            <v>Nhân viên    Bảo vệ</v>
          </cell>
          <cell r="D102" t="str">
            <v>Ban quản lý nhà LICOGI 13</v>
          </cell>
          <cell r="E102" t="str">
            <v>Lao động phổ thông</v>
          </cell>
          <cell r="F102" t="str">
            <v>Công nhân Bảo vệ</v>
          </cell>
          <cell r="G102">
            <v>39815</v>
          </cell>
          <cell r="H102" t="str">
            <v>Công nhân</v>
          </cell>
          <cell r="I102">
            <v>39815</v>
          </cell>
          <cell r="J102">
            <v>2200000</v>
          </cell>
          <cell r="K102">
            <v>2800000</v>
          </cell>
          <cell r="M102">
            <v>3</v>
          </cell>
        </row>
        <row r="103">
          <cell r="B103" t="str">
            <v>Nguyễn Viết Sơn</v>
          </cell>
          <cell r="C103" t="str">
            <v>Nhân viên    Bảo vệ</v>
          </cell>
          <cell r="D103" t="str">
            <v>Ban quản lý nhà LICOGI 13</v>
          </cell>
          <cell r="E103" t="str">
            <v>Lao động phổ thông</v>
          </cell>
          <cell r="F103" t="str">
            <v>Lao động Phổ thông</v>
          </cell>
          <cell r="G103">
            <v>39937</v>
          </cell>
          <cell r="H103" t="str">
            <v>Công nhân</v>
          </cell>
          <cell r="I103">
            <v>39937</v>
          </cell>
          <cell r="J103">
            <v>2200000</v>
          </cell>
          <cell r="K103">
            <v>2800000</v>
          </cell>
          <cell r="M103">
            <v>3</v>
          </cell>
        </row>
        <row r="104">
          <cell r="B104" t="str">
            <v>Nguyễn Trường Xuân</v>
          </cell>
          <cell r="C104" t="str">
            <v>Nhân viên    Bảo vệ</v>
          </cell>
          <cell r="D104" t="str">
            <v>Ban quản lý nhà LICOGI 13</v>
          </cell>
          <cell r="E104" t="str">
            <v>Lao động phổ thông</v>
          </cell>
          <cell r="F104" t="str">
            <v>Công nhân Bảo vệ</v>
          </cell>
          <cell r="G104">
            <v>40112</v>
          </cell>
          <cell r="H104" t="str">
            <v>Công nhân</v>
          </cell>
          <cell r="I104">
            <v>40112</v>
          </cell>
          <cell r="J104">
            <v>2200000</v>
          </cell>
          <cell r="K104">
            <v>2800000</v>
          </cell>
          <cell r="M104">
            <v>3</v>
          </cell>
        </row>
        <row r="105">
          <cell r="B105" t="str">
            <v>Nguyễn Văn Việt</v>
          </cell>
          <cell r="C105" t="str">
            <v>Nhân viên    Bảo vệ</v>
          </cell>
          <cell r="D105" t="str">
            <v>Ban quản lý nhà LICOGI 13</v>
          </cell>
          <cell r="E105" t="str">
            <v>Sơ cấp</v>
          </cell>
          <cell r="F105" t="str">
            <v>Công nhân Bảo vệ</v>
          </cell>
          <cell r="G105">
            <v>40334</v>
          </cell>
          <cell r="H105" t="str">
            <v>Công nhân</v>
          </cell>
          <cell r="I105">
            <v>40334</v>
          </cell>
          <cell r="J105">
            <v>2200000</v>
          </cell>
          <cell r="K105">
            <v>2800000</v>
          </cell>
          <cell r="M105">
            <v>3</v>
          </cell>
        </row>
        <row r="106">
          <cell r="B106" t="str">
            <v>Nguyễn Trọng Khuê</v>
          </cell>
          <cell r="C106" t="str">
            <v>Nhân viên    Bảo vệ</v>
          </cell>
          <cell r="D106" t="str">
            <v>Ban quản lý nhà LICOGI 13</v>
          </cell>
          <cell r="E106" t="str">
            <v>Sơ cấp</v>
          </cell>
          <cell r="F106" t="str">
            <v>Công nhân Bảo vệ</v>
          </cell>
          <cell r="G106">
            <v>40313</v>
          </cell>
          <cell r="H106" t="str">
            <v>Công nhân</v>
          </cell>
          <cell r="I106">
            <v>40313</v>
          </cell>
          <cell r="J106">
            <v>2200000</v>
          </cell>
          <cell r="K106">
            <v>2800000</v>
          </cell>
          <cell r="M106">
            <v>3</v>
          </cell>
        </row>
        <row r="107">
          <cell r="B107" t="str">
            <v>Nguyễn Văn Tụ</v>
          </cell>
          <cell r="C107" t="str">
            <v>Nhân viên    Bảo vệ</v>
          </cell>
          <cell r="D107" t="str">
            <v>Ban quản lý nhà LICOGI 13</v>
          </cell>
          <cell r="E107" t="str">
            <v>Lao động phổ thông</v>
          </cell>
          <cell r="F107" t="str">
            <v>Công nhân Bảo vệ</v>
          </cell>
          <cell r="G107">
            <v>39090</v>
          </cell>
          <cell r="H107" t="str">
            <v>Công nhân</v>
          </cell>
          <cell r="I107">
            <v>39090</v>
          </cell>
          <cell r="J107">
            <v>2200000</v>
          </cell>
          <cell r="K107">
            <v>2800000</v>
          </cell>
          <cell r="M107">
            <v>3</v>
          </cell>
        </row>
        <row r="108">
          <cell r="B108" t="str">
            <v>Lê Như Cúc</v>
          </cell>
          <cell r="C108" t="str">
            <v>Nhân viên    Bảo vệ</v>
          </cell>
          <cell r="D108" t="str">
            <v>Ban quản lý nhà LICOGI 13</v>
          </cell>
          <cell r="E108" t="str">
            <v>Lao động phổ thông</v>
          </cell>
          <cell r="F108" t="str">
            <v>Công nhân Bảo vệ</v>
          </cell>
          <cell r="G108">
            <v>39450</v>
          </cell>
          <cell r="H108" t="str">
            <v>Công nhân</v>
          </cell>
          <cell r="I108">
            <v>39450</v>
          </cell>
          <cell r="J108">
            <v>2200000</v>
          </cell>
          <cell r="K108">
            <v>2800000</v>
          </cell>
          <cell r="M108">
            <v>3</v>
          </cell>
        </row>
        <row r="109">
          <cell r="B109" t="str">
            <v>Trịnh Văn Duẩn</v>
          </cell>
          <cell r="C109" t="str">
            <v>Nhân viên    Bảo vệ</v>
          </cell>
          <cell r="D109" t="str">
            <v>Ban quản lý nhà LICOGI 13</v>
          </cell>
          <cell r="E109" t="str">
            <v>Lao động phổ thông</v>
          </cell>
          <cell r="F109" t="str">
            <v>Công nhân Bảo vệ</v>
          </cell>
          <cell r="G109">
            <v>39636</v>
          </cell>
          <cell r="H109" t="str">
            <v>Công nhân</v>
          </cell>
          <cell r="I109">
            <v>39636</v>
          </cell>
          <cell r="J109">
            <v>2200000</v>
          </cell>
          <cell r="K109">
            <v>2800000</v>
          </cell>
          <cell r="M109">
            <v>3</v>
          </cell>
        </row>
        <row r="110">
          <cell r="B110" t="str">
            <v>Lê Thành Long</v>
          </cell>
          <cell r="C110" t="str">
            <v>Nhân viên    Bảo vệ</v>
          </cell>
          <cell r="D110" t="str">
            <v>Ban quản lý nhà LICOGI 13</v>
          </cell>
          <cell r="E110" t="str">
            <v>Công nhân Kỹ thuật</v>
          </cell>
          <cell r="F110" t="str">
            <v>Công nhân Nguội chế tạo</v>
          </cell>
          <cell r="G110">
            <v>39604</v>
          </cell>
          <cell r="H110" t="str">
            <v>Công nhân</v>
          </cell>
          <cell r="I110">
            <v>39604</v>
          </cell>
          <cell r="J110">
            <v>2200000</v>
          </cell>
          <cell r="K110">
            <v>2800000</v>
          </cell>
          <cell r="M110">
            <v>3</v>
          </cell>
        </row>
        <row r="111">
          <cell r="B111" t="str">
            <v>Nguyễn Phi Cường</v>
          </cell>
          <cell r="C111" t="str">
            <v>Nhân viên    Bảo vệ</v>
          </cell>
          <cell r="D111" t="str">
            <v>Ban quản lý nhà LICOGI 13</v>
          </cell>
          <cell r="E111" t="str">
            <v>Công nhân Kỹ thuật</v>
          </cell>
          <cell r="F111" t="str">
            <v>Công nhân Điện</v>
          </cell>
          <cell r="G111">
            <v>39604</v>
          </cell>
          <cell r="H111" t="str">
            <v>Công nhân</v>
          </cell>
          <cell r="I111">
            <v>39604</v>
          </cell>
          <cell r="J111">
            <v>2200000</v>
          </cell>
          <cell r="K111">
            <v>2800000</v>
          </cell>
          <cell r="M111">
            <v>3</v>
          </cell>
        </row>
        <row r="112">
          <cell r="B112" t="str">
            <v>Nguyễn Khắc Vui</v>
          </cell>
          <cell r="C112" t="str">
            <v>Nhân viên    Bảo vệ</v>
          </cell>
          <cell r="D112" t="str">
            <v>Ban quản lý nhà LICOGI 13</v>
          </cell>
          <cell r="E112" t="str">
            <v>Lao động phổ thông</v>
          </cell>
          <cell r="F112" t="str">
            <v>Công nhân Bảo vệ</v>
          </cell>
          <cell r="G112">
            <v>39452</v>
          </cell>
          <cell r="H112" t="str">
            <v>Công nhân</v>
          </cell>
          <cell r="I112">
            <v>39452</v>
          </cell>
          <cell r="J112">
            <v>2200000</v>
          </cell>
          <cell r="K112">
            <v>2800000</v>
          </cell>
          <cell r="M112">
            <v>3</v>
          </cell>
        </row>
        <row r="113">
          <cell r="B113" t="str">
            <v>Hạ Văn Thành</v>
          </cell>
          <cell r="C113" t="str">
            <v>Nhân viên    Bảo vệ</v>
          </cell>
          <cell r="D113" t="str">
            <v>Ban quản lý nhà LICOGI 13</v>
          </cell>
          <cell r="E113" t="str">
            <v>Lao động phổ thông</v>
          </cell>
          <cell r="F113" t="str">
            <v>Công nhân Bảo vệ</v>
          </cell>
          <cell r="G113">
            <v>39736</v>
          </cell>
          <cell r="H113" t="str">
            <v>Công nhân</v>
          </cell>
          <cell r="I113">
            <v>39736</v>
          </cell>
          <cell r="J113">
            <v>2200000</v>
          </cell>
          <cell r="K113">
            <v>2800000</v>
          </cell>
          <cell r="M113">
            <v>3</v>
          </cell>
        </row>
        <row r="114">
          <cell r="B114" t="str">
            <v>Nguyễn Văn Bẩy</v>
          </cell>
          <cell r="C114" t="str">
            <v>Nhân viên    Bảo vệ</v>
          </cell>
          <cell r="D114" t="str">
            <v>Ban quản lý nhà LICOGI 13</v>
          </cell>
          <cell r="E114" t="str">
            <v>Lao động phổ thông</v>
          </cell>
          <cell r="F114" t="str">
            <v>Công nhân Bảo vệ</v>
          </cell>
          <cell r="G114">
            <v>39736</v>
          </cell>
          <cell r="H114" t="str">
            <v>Công nhân</v>
          </cell>
          <cell r="I114">
            <v>39736</v>
          </cell>
          <cell r="J114">
            <v>2200000</v>
          </cell>
          <cell r="K114">
            <v>2800000</v>
          </cell>
          <cell r="M114">
            <v>3</v>
          </cell>
        </row>
        <row r="115">
          <cell r="B115" t="str">
            <v>Nguyễn Thị Hương</v>
          </cell>
          <cell r="C115" t="str">
            <v>Tổ trưởng Tổ vệ sinh</v>
          </cell>
          <cell r="D115" t="str">
            <v>Ban quản lý nhà LICOGI 13</v>
          </cell>
          <cell r="E115" t="str">
            <v>Trung cấp</v>
          </cell>
          <cell r="F115" t="str">
            <v>Trung cấp Tài chính kế toán</v>
          </cell>
          <cell r="G115">
            <v>39450</v>
          </cell>
          <cell r="H115" t="str">
            <v>Nhân viên</v>
          </cell>
          <cell r="I115">
            <v>39450</v>
          </cell>
          <cell r="J115">
            <v>2200000</v>
          </cell>
          <cell r="K115">
            <v>3200000</v>
          </cell>
          <cell r="M115">
            <v>3.5</v>
          </cell>
        </row>
        <row r="116">
          <cell r="B116" t="str">
            <v>Đào Hải Yến</v>
          </cell>
          <cell r="C116" t="str">
            <v>Vệ sinh môi trường</v>
          </cell>
          <cell r="D116" t="str">
            <v>Ban quản lý nhà LICOGI 13</v>
          </cell>
          <cell r="E116" t="str">
            <v>Lao động phổ thông</v>
          </cell>
          <cell r="F116" t="str">
            <v>Nhân viên Vệ sinh môi trường</v>
          </cell>
          <cell r="G116">
            <v>39450</v>
          </cell>
          <cell r="H116" t="str">
            <v>Công nhân</v>
          </cell>
          <cell r="I116">
            <v>39450</v>
          </cell>
          <cell r="J116">
            <v>1900000</v>
          </cell>
          <cell r="K116">
            <v>2600000</v>
          </cell>
          <cell r="M116">
            <v>2.8</v>
          </cell>
        </row>
        <row r="117">
          <cell r="B117" t="str">
            <v>Công Thị Ánh Tuyết</v>
          </cell>
          <cell r="C117" t="str">
            <v>Vệ sinh môi trường</v>
          </cell>
          <cell r="D117" t="str">
            <v>Ban quản lý nhà LICOGI 13</v>
          </cell>
          <cell r="E117" t="str">
            <v>Lao động phổ thông</v>
          </cell>
          <cell r="F117" t="str">
            <v>Nhân viên Vệ sinh môi trường</v>
          </cell>
          <cell r="G117">
            <v>39450</v>
          </cell>
          <cell r="H117" t="str">
            <v>Công nhân</v>
          </cell>
          <cell r="I117">
            <v>39450</v>
          </cell>
          <cell r="J117">
            <v>1900000</v>
          </cell>
          <cell r="K117">
            <v>2600000</v>
          </cell>
          <cell r="M117">
            <v>2.8</v>
          </cell>
        </row>
        <row r="118">
          <cell r="B118" t="str">
            <v>Nguyễn Thị Thu Hiền (B)</v>
          </cell>
          <cell r="C118" t="str">
            <v>Vệ sinh môi trường</v>
          </cell>
          <cell r="D118" t="str">
            <v>Ban quản lý nhà LICOGI 13</v>
          </cell>
          <cell r="E118" t="str">
            <v>Trung cấp</v>
          </cell>
          <cell r="F118" t="str">
            <v>Trung cấp Nhà trẻ mẫu giáo</v>
          </cell>
          <cell r="G118">
            <v>39450</v>
          </cell>
          <cell r="H118" t="str">
            <v>Công nhân</v>
          </cell>
          <cell r="I118">
            <v>39450</v>
          </cell>
          <cell r="J118">
            <v>1900000</v>
          </cell>
          <cell r="K118">
            <v>2600000</v>
          </cell>
          <cell r="M118">
            <v>2.8</v>
          </cell>
        </row>
        <row r="119">
          <cell r="B119" t="str">
            <v>Đỗ Thị Thu Hương</v>
          </cell>
          <cell r="C119" t="str">
            <v>Vệ sinh môi trường</v>
          </cell>
          <cell r="D119" t="str">
            <v>Ban quản lý nhà LICOGI 13</v>
          </cell>
          <cell r="E119" t="str">
            <v>Lao động phổ thông</v>
          </cell>
          <cell r="F119" t="str">
            <v>Nhân viên Vệ sinh môi trường</v>
          </cell>
          <cell r="G119">
            <v>39452</v>
          </cell>
          <cell r="H119" t="str">
            <v>Công nhân</v>
          </cell>
          <cell r="I119">
            <v>39452</v>
          </cell>
          <cell r="J119">
            <v>1900000</v>
          </cell>
          <cell r="K119">
            <v>2600000</v>
          </cell>
          <cell r="M119">
            <v>2.8</v>
          </cell>
        </row>
        <row r="120">
          <cell r="B120" t="str">
            <v>Phạm Thị Mỹ</v>
          </cell>
          <cell r="C120" t="str">
            <v>Vệ sinh môi trường</v>
          </cell>
          <cell r="D120" t="str">
            <v>Ban quản lý nhà LICOGI 13</v>
          </cell>
          <cell r="E120" t="str">
            <v>Lao động phổ thông</v>
          </cell>
          <cell r="F120" t="str">
            <v>Nhân viên Vệ sinh môi trường</v>
          </cell>
          <cell r="G120">
            <v>40031</v>
          </cell>
          <cell r="H120" t="str">
            <v>Công nhân</v>
          </cell>
          <cell r="I120">
            <v>40031</v>
          </cell>
          <cell r="J120">
            <v>1900000</v>
          </cell>
          <cell r="K120">
            <v>2600000</v>
          </cell>
          <cell r="M120">
            <v>2.8</v>
          </cell>
        </row>
        <row r="121">
          <cell r="B121" t="str">
            <v>Lê Thị Oai</v>
          </cell>
          <cell r="C121" t="str">
            <v>Vệ sinh môi trường</v>
          </cell>
          <cell r="D121" t="str">
            <v>Ban quản lý nhà LICOGI 13</v>
          </cell>
          <cell r="E121" t="str">
            <v>Lao động phổ thông</v>
          </cell>
          <cell r="F121" t="str">
            <v>Nhân viên Vệ sinh môi trường</v>
          </cell>
          <cell r="G121">
            <v>40313</v>
          </cell>
          <cell r="H121" t="str">
            <v>Công nhân</v>
          </cell>
          <cell r="I121">
            <v>40313</v>
          </cell>
          <cell r="J121">
            <v>1900000</v>
          </cell>
          <cell r="K121">
            <v>2600000</v>
          </cell>
          <cell r="M121">
            <v>2.8</v>
          </cell>
        </row>
        <row r="122">
          <cell r="B122" t="str">
            <v>Nguyễn Thế Dân</v>
          </cell>
          <cell r="C122" t="str">
            <v>NV quản lý khối lượng và hoàn công</v>
          </cell>
          <cell r="D122" t="str">
            <v>Ban quản lý dự án 25</v>
          </cell>
          <cell r="E122" t="str">
            <v>Đại học</v>
          </cell>
          <cell r="F122" t="str">
            <v>NV quản lý khối lượng và hoàn công</v>
          </cell>
          <cell r="G122">
            <v>40179</v>
          </cell>
          <cell r="H122" t="str">
            <v>NV quản lý khối lượng và hoàn công</v>
          </cell>
          <cell r="I122">
            <v>40179</v>
          </cell>
          <cell r="J122">
            <v>1900000</v>
          </cell>
          <cell r="K122">
            <v>2600000</v>
          </cell>
          <cell r="M122">
            <v>2.8</v>
          </cell>
        </row>
      </sheetData>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chuc danh"/>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Input"/>
      <sheetName val="Code"/>
      <sheetName val="Tính lương"/>
      <sheetName val="Khung bậc"/>
      <sheetName val="Index"/>
      <sheetName val="Diem danh gia"/>
      <sheetName val="Dữ liệu NS"/>
    </sheetNames>
    <sheetDataSet>
      <sheetData sheetId="0" refreshError="1"/>
      <sheetData sheetId="1" refreshError="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trategyMap"/>
      <sheetName val="BSC.KPI (2015-2020)"/>
      <sheetName val="BSC TCT_Q4.2015"/>
      <sheetName val="Sheet1"/>
      <sheetName val="ST#01 Marketing&amp;PTTH"/>
      <sheetName val="ST#02-Phát triển KHCN"/>
      <sheetName val="ST#03-Phát triển KHDN"/>
      <sheetName val="ST#04 Phát triển CLPV"/>
      <sheetName val="ST#05- PHát triển DVCSKH"/>
      <sheetName val="ST#06  R&amp;D"/>
      <sheetName val="ST#07 Xây dựng hệ thống QTNS"/>
      <sheetName val="ST#07 Xây dựng hệ thống QTHĐ)"/>
      <sheetName val="Nhân sự"/>
      <sheetName val="KHĐT"/>
      <sheetName val="KTNV"/>
      <sheetName val="NCTT"/>
      <sheetName val="Chất lượng"/>
      <sheetName val="KTTC"/>
      <sheetName val="Văn phòng"/>
      <sheetName val="KHCN"/>
      <sheetName val="KHDN"/>
      <sheetName val="TTHTBHMT"/>
      <sheetName val="TTHTBHMN"/>
      <sheetName val="VNPT Data"/>
      <sheetName val="VNPT Soft"/>
      <sheetName val="Index"/>
      <sheetName val="Tu dien KPI"/>
      <sheetName val="Tu dien KRI"/>
      <sheetName val="Mau KPI Ca nhan"/>
      <sheetName val="KPI CV PTTC"/>
      <sheetName val="TTHTKH mien Trung"/>
      <sheetName val="TTKD HaNoi"/>
      <sheetName val="TTKD HCM"/>
      <sheetName val="TTKD DNG"/>
      <sheetName val="TTKD VPC"/>
      <sheetName val="TTKD QNM"/>
      <sheetName val="TTKD TGG"/>
    </sheetNames>
    <sheetDataSet>
      <sheetData sheetId="0"/>
      <sheetData sheetId="1">
        <row r="71">
          <cell r="F71" t="str">
            <v>F1</v>
          </cell>
          <cell r="G71" t="str">
            <v>F1</v>
          </cell>
          <cell r="H71" t="str">
            <v>Cải thiện hiệu quả kinh doanh</v>
          </cell>
        </row>
        <row r="72">
          <cell r="F72" t="str">
            <v>F1</v>
          </cell>
          <cell r="G72" t="str">
            <v>F11</v>
          </cell>
          <cell r="H72">
            <v>1</v>
          </cell>
          <cell r="I72" t="str">
            <v>Tỷ lệ lãi gộp/Doanh thu thuần</v>
          </cell>
        </row>
        <row r="73">
          <cell r="F73" t="str">
            <v>F1</v>
          </cell>
          <cell r="G73" t="str">
            <v>F12</v>
          </cell>
          <cell r="H73">
            <v>2</v>
          </cell>
          <cell r="I73" t="str">
            <v>Lợi nhuận/ Tài sản</v>
          </cell>
        </row>
        <row r="74">
          <cell r="F74" t="str">
            <v>F2</v>
          </cell>
          <cell r="G74" t="str">
            <v>F2</v>
          </cell>
          <cell r="H74" t="str">
            <v>Tăng trưởng doanh thu</v>
          </cell>
        </row>
        <row r="75">
          <cell r="F75" t="str">
            <v>F2</v>
          </cell>
          <cell r="G75" t="str">
            <v>F21</v>
          </cell>
          <cell r="H75">
            <v>1</v>
          </cell>
          <cell r="I75" t="str">
            <v>Tổng doanh thu</v>
          </cell>
        </row>
        <row r="76">
          <cell r="F76" t="str">
            <v>F2</v>
          </cell>
          <cell r="G76" t="str">
            <v>F211</v>
          </cell>
          <cell r="H76">
            <v>11</v>
          </cell>
          <cell r="I76" t="str">
            <v>Doanh thu di động</v>
          </cell>
        </row>
        <row r="77">
          <cell r="F77" t="str">
            <v>F2</v>
          </cell>
          <cell r="G77" t="str">
            <v>F212</v>
          </cell>
          <cell r="H77">
            <v>12</v>
          </cell>
          <cell r="I77" t="str">
            <v>Doanh thu Data trên dịch vụ di động</v>
          </cell>
        </row>
        <row r="78">
          <cell r="F78" t="str">
            <v>F2</v>
          </cell>
          <cell r="G78" t="str">
            <v>F213</v>
          </cell>
          <cell r="H78">
            <v>13</v>
          </cell>
          <cell r="I78" t="str">
            <v>Doanh thu GTGT trên dịch vụ di động</v>
          </cell>
        </row>
        <row r="79">
          <cell r="F79" t="str">
            <v>F2</v>
          </cell>
          <cell r="G79" t="str">
            <v>F214</v>
          </cell>
          <cell r="H79">
            <v>14</v>
          </cell>
          <cell r="I79" t="str">
            <v>Doanh thu khách hàng tổ chức, doanh nghiệp</v>
          </cell>
        </row>
        <row r="80">
          <cell r="F80" t="str">
            <v>F2</v>
          </cell>
          <cell r="G80" t="str">
            <v>F22</v>
          </cell>
          <cell r="H80">
            <v>2</v>
          </cell>
          <cell r="I80" t="str">
            <v>Tỷ trọng  doanh thu từ sản phẩm/ dịch vụ mới (trong vòng 2 năm)</v>
          </cell>
        </row>
        <row r="81">
          <cell r="F81" t="str">
            <v>F2</v>
          </cell>
          <cell r="G81" t="str">
            <v>F23</v>
          </cell>
          <cell r="H81">
            <v>3</v>
          </cell>
          <cell r="I81" t="str">
            <v>Tăng tỷ trọng doanh thu từ khách hàng mới</v>
          </cell>
        </row>
        <row r="82">
          <cell r="F82" t="str">
            <v>F2</v>
          </cell>
          <cell r="G82" t="str">
            <v>F24</v>
          </cell>
          <cell r="H82">
            <v>4</v>
          </cell>
          <cell r="I82" t="str">
            <v>Tỷ trọng doanh thu từ dịch vụ CNTT</v>
          </cell>
        </row>
        <row r="83">
          <cell r="F83" t="str">
            <v>F3</v>
          </cell>
          <cell r="G83" t="str">
            <v>F3</v>
          </cell>
          <cell r="H83" t="str">
            <v>Quản lý chi phí hiệu quả</v>
          </cell>
        </row>
        <row r="84">
          <cell r="F84" t="str">
            <v>F3</v>
          </cell>
          <cell r="G84" t="str">
            <v>F31</v>
          </cell>
          <cell r="H84">
            <v>1</v>
          </cell>
          <cell r="I84" t="str">
            <v>Hệ số doanh thu/chi phí ( không bao gồm khấu hao, tiền lương, chi phí HTKD)</v>
          </cell>
        </row>
        <row r="85">
          <cell r="F85" t="str">
            <v>F3</v>
          </cell>
          <cell r="G85" t="str">
            <v>F32</v>
          </cell>
          <cell r="H85">
            <v>2</v>
          </cell>
          <cell r="I85" t="str">
            <v>Tỷ lệ chi phí lao động/Doanh thu thuần</v>
          </cell>
        </row>
        <row r="86">
          <cell r="F86" t="str">
            <v>F3</v>
          </cell>
          <cell r="G86" t="str">
            <v>F33</v>
          </cell>
          <cell r="H86">
            <v>3</v>
          </cell>
          <cell r="I86" t="str">
            <v>Hệ số nợ</v>
          </cell>
        </row>
        <row r="87">
          <cell r="F87" t="str">
            <v>F4</v>
          </cell>
          <cell r="G87" t="str">
            <v>F4</v>
          </cell>
          <cell r="H87" t="str">
            <v>Tăng thị phần các dịch vụ cốt lõi</v>
          </cell>
        </row>
        <row r="88">
          <cell r="F88" t="str">
            <v>F4</v>
          </cell>
          <cell r="G88" t="str">
            <v>F41</v>
          </cell>
          <cell r="H88">
            <v>1</v>
          </cell>
          <cell r="I88" t="str">
            <v>Thị phần di động</v>
          </cell>
        </row>
        <row r="89">
          <cell r="F89" t="str">
            <v>F4</v>
          </cell>
          <cell r="G89" t="str">
            <v>F42</v>
          </cell>
          <cell r="H89">
            <v>2</v>
          </cell>
          <cell r="I89" t="str">
            <v>Tăng trưởng doanh thu từ dịch vụ chính:</v>
          </cell>
        </row>
        <row r="90">
          <cell r="F90" t="str">
            <v>F4</v>
          </cell>
          <cell r="G90" t="str">
            <v>F421</v>
          </cell>
          <cell r="H90">
            <v>21</v>
          </cell>
          <cell r="I90" t="str">
            <v>Tăng trưởng từ dịch vụ Data trên di động</v>
          </cell>
        </row>
        <row r="91">
          <cell r="F91" t="str">
            <v>F4</v>
          </cell>
          <cell r="G91" t="str">
            <v>F422</v>
          </cell>
          <cell r="H91">
            <v>22</v>
          </cell>
          <cell r="I91" t="str">
            <v>Tăng trưởng từ dịch vụ GTGT trên di động</v>
          </cell>
        </row>
        <row r="92">
          <cell r="F92" t="str">
            <v>F4</v>
          </cell>
          <cell r="G92" t="str">
            <v>F43</v>
          </cell>
          <cell r="H92">
            <v>3</v>
          </cell>
          <cell r="I92" t="str">
            <v>Thuê bao phát sinh cước thực tăng các dịch vụ</v>
          </cell>
        </row>
        <row r="93">
          <cell r="F93" t="str">
            <v>C1</v>
          </cell>
          <cell r="G93" t="str">
            <v>C1</v>
          </cell>
          <cell r="H93" t="str">
            <v>Khách hàng DỄ TIẾP CẬN dịch vụ(Gia tăng ĐỘ PHỦ dịch vụ)</v>
          </cell>
        </row>
        <row r="94">
          <cell r="F94" t="str">
            <v>C1</v>
          </cell>
          <cell r="G94" t="str">
            <v>C11</v>
          </cell>
          <cell r="H94">
            <v>1</v>
          </cell>
          <cell r="I94" t="str">
            <v>Tỷ lệ khách hàng đánh giá VNP có độ phủ dịch vụ rộng (trên khu vực đã phủ sóng, mạng lưới)</v>
          </cell>
        </row>
        <row r="95">
          <cell r="F95" t="str">
            <v>C1</v>
          </cell>
          <cell r="G95" t="str">
            <v>C12</v>
          </cell>
          <cell r="H95">
            <v>2</v>
          </cell>
          <cell r="I95" t="str">
            <v>Tỷ lệ khách hàng đánh giá dễ tiếp cận dịch vụ</v>
          </cell>
        </row>
        <row r="96">
          <cell r="F96" t="str">
            <v>C2</v>
          </cell>
          <cell r="G96" t="str">
            <v>C2</v>
          </cell>
          <cell r="H96" t="str">
            <v xml:space="preserve">Cải thiện TỐC ĐỘ phục vụ </v>
          </cell>
        </row>
        <row r="97">
          <cell r="F97" t="str">
            <v>C2</v>
          </cell>
          <cell r="G97" t="str">
            <v>C21</v>
          </cell>
          <cell r="H97">
            <v>1</v>
          </cell>
          <cell r="I97" t="str">
            <v>Tỷ lệ yêu cầu cung cấp dịch vụ được đáp ứng đúng quy định.</v>
          </cell>
        </row>
        <row r="98">
          <cell r="F98" t="str">
            <v>C2</v>
          </cell>
          <cell r="G98" t="str">
            <v>C22</v>
          </cell>
          <cell r="H98">
            <v>2</v>
          </cell>
          <cell r="I98" t="str">
            <v>Tỷ lệ yêu cầu xử lý sự cố được đáp ứng đúng quy định.</v>
          </cell>
        </row>
        <row r="99">
          <cell r="F99" t="str">
            <v>C3</v>
          </cell>
          <cell r="G99" t="str">
            <v>C3</v>
          </cell>
          <cell r="H99" t="str">
            <v xml:space="preserve">Tăng giá trị THƯƠNG HIỆU </v>
          </cell>
        </row>
        <row r="100">
          <cell r="F100" t="str">
            <v>C3</v>
          </cell>
          <cell r="G100" t="str">
            <v>C31</v>
          </cell>
          <cell r="H100">
            <v>1</v>
          </cell>
          <cell r="I100" t="str">
            <v>Brand Equity Index:- Vinaphone- My TV- Internet (KHDN)</v>
          </cell>
        </row>
        <row r="101">
          <cell r="F101" t="str">
            <v>C3</v>
          </cell>
          <cell r="G101" t="str">
            <v>C32</v>
          </cell>
          <cell r="H101">
            <v>2</v>
          </cell>
          <cell r="I101" t="str">
            <v>- Tỷ lệ chuyển đổi từ nhận biết sang sử dụng(Internet, MyTV, hóa đơn điện tử...)</v>
          </cell>
        </row>
        <row r="102">
          <cell r="F102" t="str">
            <v>C4</v>
          </cell>
          <cell r="G102" t="str">
            <v>C4</v>
          </cell>
          <cell r="H102" t="str">
            <v>Gia tăng SỰ HÀI LÒNG  của khách hàng (Cải thiện CLDV)</v>
          </cell>
        </row>
        <row r="103">
          <cell r="F103" t="str">
            <v>C4</v>
          </cell>
          <cell r="G103" t="str">
            <v>C41</v>
          </cell>
          <cell r="H103">
            <v>1</v>
          </cell>
          <cell r="I103" t="str">
            <v>Tỷ lệ khách hàng đánh giá hài lòng về chất lượng phục vụ ( lắp đặt, hòa mạng, CSKH, sửa chữa khắc phục sự cố... qua kênh tổng đài, điểm giao dịch.. thông qua khảo sát thường xuyên)</v>
          </cell>
        </row>
        <row r="104">
          <cell r="F104" t="str">
            <v>C4</v>
          </cell>
          <cell r="G104" t="str">
            <v>C42</v>
          </cell>
          <cell r="H104">
            <v>2</v>
          </cell>
          <cell r="I104" t="str">
            <v>Độ hài lòng của khách hàng về dịch vụ hoặc:Độ hài lòng của điểm bán lẻ/ Tỷ lệ điểm bán lẻ được chăm sóc</v>
          </cell>
        </row>
        <row r="105">
          <cell r="F105" t="str">
            <v>C4</v>
          </cell>
          <cell r="G105" t="str">
            <v>C43</v>
          </cell>
          <cell r="H105">
            <v>3</v>
          </cell>
          <cell r="I105" t="str">
            <v>Tỷ lệ khách hàng/thuê bao chấm dứt dịch vụ ( tính theo dịch vụ)</v>
          </cell>
        </row>
        <row r="106">
          <cell r="F106" t="str">
            <v>I1</v>
          </cell>
          <cell r="G106" t="str">
            <v>I1</v>
          </cell>
          <cell r="H106" t="str">
            <v>Phát triển mạng lưới phân phối hiệu quả</v>
          </cell>
        </row>
        <row r="107">
          <cell r="F107" t="str">
            <v>I1</v>
          </cell>
          <cell r="G107" t="str">
            <v>I11</v>
          </cell>
          <cell r="H107">
            <v>1</v>
          </cell>
          <cell r="I107" t="str">
            <v>Độ phủ của điểm giao dịch đạt chuẩn ( cấp quận huyện)</v>
          </cell>
        </row>
        <row r="108">
          <cell r="F108" t="str">
            <v>I1</v>
          </cell>
          <cell r="G108" t="str">
            <v>I12</v>
          </cell>
          <cell r="H108">
            <v>2</v>
          </cell>
          <cell r="I108" t="str">
            <v>Tỷ lệ hợp đồng/yêu cầu dịch đăng ký dịch vụ online có phát sinh doanh thu</v>
          </cell>
        </row>
        <row r="109">
          <cell r="F109" t="str">
            <v>I1</v>
          </cell>
          <cell r="G109" t="str">
            <v>I13</v>
          </cell>
          <cell r="H109">
            <v>3</v>
          </cell>
          <cell r="I109" t="str">
            <v>Tỷ lệ xã/phường có điểm giao dịch của VNPT-Vinaphone</v>
          </cell>
        </row>
        <row r="110">
          <cell r="F110" t="str">
            <v>I1</v>
          </cell>
          <cell r="G110" t="str">
            <v>I14</v>
          </cell>
          <cell r="H110">
            <v>4</v>
          </cell>
          <cell r="I110" t="str">
            <v>- Số lượng điểm bán lẻ bình quân/1000 dân- Số giao 2015: Số điểm bán lẻ mới phát sinh doanh thu</v>
          </cell>
        </row>
        <row r="111">
          <cell r="F111" t="str">
            <v>I1</v>
          </cell>
          <cell r="G111" t="str">
            <v>I141</v>
          </cell>
          <cell r="H111">
            <v>41</v>
          </cell>
          <cell r="I111" t="str">
            <v>Tỷ lệ điểm bán lẻ phát sinh doanh thu</v>
          </cell>
        </row>
        <row r="112">
          <cell r="F112" t="str">
            <v>I1</v>
          </cell>
          <cell r="G112" t="str">
            <v>I142</v>
          </cell>
          <cell r="H112">
            <v>42</v>
          </cell>
          <cell r="I112" t="str">
            <v>Tỷ lệ điểm bán lẻ phát sinh doanh thu từ bán sim</v>
          </cell>
        </row>
        <row r="113">
          <cell r="F113" t="str">
            <v>I1</v>
          </cell>
          <cell r="G113" t="str">
            <v>I15</v>
          </cell>
          <cell r="H113">
            <v>5</v>
          </cell>
          <cell r="I113" t="str">
            <v>- Số yêu cầu dịch vụ từ bán hàng online</v>
          </cell>
        </row>
        <row r="114">
          <cell r="F114" t="str">
            <v>I1</v>
          </cell>
          <cell r="G114" t="str">
            <v>I16</v>
          </cell>
          <cell r="H114">
            <v>6</v>
          </cell>
          <cell r="I114" t="str">
            <v>Tỷ lệ nạp thẻ đúng địa bàn</v>
          </cell>
        </row>
        <row r="115">
          <cell r="F115" t="str">
            <v>I2</v>
          </cell>
          <cell r="G115" t="str">
            <v>I2</v>
          </cell>
          <cell r="H115" t="str">
            <v>Cải thiện hiệu suất bán hàng</v>
          </cell>
        </row>
        <row r="116">
          <cell r="F116" t="str">
            <v>I2</v>
          </cell>
          <cell r="G116" t="str">
            <v>I21</v>
          </cell>
          <cell r="H116">
            <v>1</v>
          </cell>
          <cell r="I116" t="str">
            <v>Năng suất lao động bình quân</v>
          </cell>
        </row>
        <row r="117">
          <cell r="F117" t="str">
            <v>I2</v>
          </cell>
          <cell r="G117" t="str">
            <v>I22</v>
          </cell>
          <cell r="H117">
            <v>2</v>
          </cell>
          <cell r="I117" t="str">
            <v>Tỷ lệ tăng trưởng số lượng khách hàng mới</v>
          </cell>
        </row>
        <row r="118">
          <cell r="F118" t="str">
            <v>I2</v>
          </cell>
          <cell r="G118" t="str">
            <v>I23</v>
          </cell>
          <cell r="H118">
            <v>3</v>
          </cell>
          <cell r="I118" t="str">
            <v>Doanh thu bình quân trên một khách hàng</v>
          </cell>
        </row>
        <row r="119">
          <cell r="F119" t="str">
            <v>I3</v>
          </cell>
          <cell r="G119" t="str">
            <v>I3</v>
          </cell>
          <cell r="H119" t="str">
            <v>Xây dựng DỊCH VỤ khách hàng vượt trội</v>
          </cell>
        </row>
        <row r="120">
          <cell r="F120" t="str">
            <v>I3</v>
          </cell>
          <cell r="G120" t="str">
            <v>I31</v>
          </cell>
          <cell r="H120">
            <v>1</v>
          </cell>
          <cell r="I120" t="str">
            <v>Tỷ lệ lắp đặt và cung cấp dịch vụ thực hiện đúng theo quy định:</v>
          </cell>
        </row>
        <row r="121">
          <cell r="F121" t="str">
            <v>I3</v>
          </cell>
          <cell r="G121" t="str">
            <v>I311</v>
          </cell>
          <cell r="H121">
            <v>11</v>
          </cell>
          <cell r="I121" t="str">
            <v>Internet trực tiếp</v>
          </cell>
        </row>
        <row r="122">
          <cell r="F122" t="str">
            <v>I3</v>
          </cell>
          <cell r="G122" t="str">
            <v>I312</v>
          </cell>
          <cell r="H122">
            <v>12</v>
          </cell>
          <cell r="I122" t="str">
            <v>VPN</v>
          </cell>
        </row>
        <row r="123">
          <cell r="F123" t="str">
            <v>I3</v>
          </cell>
          <cell r="G123" t="str">
            <v>I313</v>
          </cell>
          <cell r="H123">
            <v>13</v>
          </cell>
          <cell r="I123" t="str">
            <v>Kênh thuê riêng</v>
          </cell>
        </row>
        <row r="124">
          <cell r="F124" t="str">
            <v>I3</v>
          </cell>
          <cell r="G124" t="str">
            <v>I314</v>
          </cell>
          <cell r="H124">
            <v>14</v>
          </cell>
          <cell r="I124" t="str">
            <v>FTTX</v>
          </cell>
        </row>
        <row r="125">
          <cell r="F125" t="str">
            <v>I3</v>
          </cell>
          <cell r="G125" t="str">
            <v>I315</v>
          </cell>
          <cell r="H125">
            <v>15</v>
          </cell>
          <cell r="I125" t="str">
            <v>ADSL</v>
          </cell>
        </row>
        <row r="126">
          <cell r="F126" t="str">
            <v>I3</v>
          </cell>
          <cell r="G126" t="str">
            <v>I316</v>
          </cell>
          <cell r="H126">
            <v>16</v>
          </cell>
          <cell r="I126" t="str">
            <v>MyTV</v>
          </cell>
        </row>
        <row r="127">
          <cell r="F127" t="str">
            <v>I3</v>
          </cell>
          <cell r="G127" t="str">
            <v>I32</v>
          </cell>
          <cell r="H127">
            <v>2</v>
          </cell>
          <cell r="I127" t="str">
            <v>Thời gian bình quân xử lý sự cố /khiếu nại hoặcTỷ lệ xử lý khiếu nại/ sự cố đúng theo quy định</v>
          </cell>
        </row>
        <row r="128">
          <cell r="F128" t="str">
            <v>I3</v>
          </cell>
          <cell r="G128" t="str">
            <v>I321</v>
          </cell>
          <cell r="H128">
            <v>21</v>
          </cell>
          <cell r="I128" t="str">
            <v>Internet trực tiếp</v>
          </cell>
        </row>
        <row r="129">
          <cell r="F129" t="str">
            <v>I3</v>
          </cell>
          <cell r="G129" t="str">
            <v>I322</v>
          </cell>
          <cell r="H129">
            <v>22</v>
          </cell>
          <cell r="I129" t="str">
            <v>VPN</v>
          </cell>
        </row>
        <row r="130">
          <cell r="F130" t="str">
            <v>I3</v>
          </cell>
          <cell r="G130" t="str">
            <v>I323</v>
          </cell>
          <cell r="H130">
            <v>23</v>
          </cell>
          <cell r="I130" t="str">
            <v>Kênh thuê riêng</v>
          </cell>
        </row>
        <row r="131">
          <cell r="F131" t="str">
            <v>I3</v>
          </cell>
          <cell r="G131" t="str">
            <v>I324</v>
          </cell>
          <cell r="H131">
            <v>24</v>
          </cell>
          <cell r="I131" t="str">
            <v>FTTX</v>
          </cell>
        </row>
        <row r="132">
          <cell r="F132" t="str">
            <v>I3</v>
          </cell>
          <cell r="G132" t="str">
            <v>I325</v>
          </cell>
          <cell r="H132">
            <v>25</v>
          </cell>
          <cell r="I132" t="str">
            <v>ADSL</v>
          </cell>
        </row>
        <row r="133">
          <cell r="F133" t="str">
            <v>I3</v>
          </cell>
          <cell r="G133" t="str">
            <v>I326</v>
          </cell>
          <cell r="H133">
            <v>26</v>
          </cell>
          <cell r="I133" t="str">
            <v>MyTV</v>
          </cell>
        </row>
        <row r="134">
          <cell r="F134" t="str">
            <v>I3</v>
          </cell>
          <cell r="G134" t="str">
            <v>I327</v>
          </cell>
          <cell r="H134">
            <v>27</v>
          </cell>
          <cell r="I134" t="str">
            <v>Di động</v>
          </cell>
        </row>
        <row r="135">
          <cell r="F135" t="str">
            <v>I3</v>
          </cell>
          <cell r="G135" t="str">
            <v>I33</v>
          </cell>
          <cell r="H135">
            <v>3</v>
          </cell>
          <cell r="I135" t="str">
            <v>Tỷ lệ đáp ứng cuộc gọi qua Tổng đài vùng (8001166)</v>
          </cell>
        </row>
        <row r="136">
          <cell r="F136" t="str">
            <v>I4</v>
          </cell>
          <cell r="G136" t="str">
            <v>I4</v>
          </cell>
          <cell r="H136" t="str">
            <v>Chăm sóc khách hàng chu đáo, hiệu quả</v>
          </cell>
        </row>
        <row r="137">
          <cell r="F137" t="str">
            <v>I4</v>
          </cell>
          <cell r="G137" t="str">
            <v>I41</v>
          </cell>
          <cell r="H137">
            <v>1</v>
          </cell>
          <cell r="I137" t="str">
            <v>Tăng tỷ lệ thuê bao/khách hàng được chăm sóc định kỳ ( giao cho nhóm DV chính) hoặc:Tỷ lệ khách hàng được chăm sóc đúng quy định</v>
          </cell>
        </row>
        <row r="138">
          <cell r="F138" t="str">
            <v>I4</v>
          </cell>
          <cell r="G138" t="str">
            <v>I42</v>
          </cell>
          <cell r="H138">
            <v>2</v>
          </cell>
          <cell r="I138" t="str">
            <v>Tỷ lệ khách hàng sử dụng đa dịch vụ được chăm sóc tập trung</v>
          </cell>
        </row>
        <row r="139">
          <cell r="F139" t="str">
            <v>I5</v>
          </cell>
          <cell r="G139" t="str">
            <v>I5</v>
          </cell>
          <cell r="H139" t="str">
            <v xml:space="preserve">Quản lý và Phát triển THƯƠNG HIỆU hiệu quả </v>
          </cell>
        </row>
        <row r="140">
          <cell r="F140" t="str">
            <v>I5</v>
          </cell>
          <cell r="G140" t="str">
            <v>I51</v>
          </cell>
          <cell r="H140">
            <v>1</v>
          </cell>
          <cell r="I140" t="str">
            <v>Tỷ lệ sản phẩm dịch vụ chính có BRAND riêng và được nhận biết tốt (VD 80%) trên thị trường</v>
          </cell>
        </row>
        <row r="141">
          <cell r="F141" t="str">
            <v>I5</v>
          </cell>
          <cell r="G141" t="str">
            <v>I52</v>
          </cell>
          <cell r="H141">
            <v>2</v>
          </cell>
          <cell r="I141" t="str">
            <v>Tỷ lệ nhận biết brand/ thương hiệu sản phẩm dịch vụ mới (trong 2 năm đầu)</v>
          </cell>
        </row>
        <row r="142">
          <cell r="F142" t="str">
            <v>I6</v>
          </cell>
          <cell r="G142" t="str">
            <v>I6</v>
          </cell>
          <cell r="H142" t="str">
            <v>Truyền thông khác biệt và hiệu quả</v>
          </cell>
        </row>
        <row r="143">
          <cell r="F143" t="str">
            <v>I6</v>
          </cell>
          <cell r="G143" t="str">
            <v>I61</v>
          </cell>
          <cell r="H143">
            <v>1</v>
          </cell>
          <cell r="I143" t="str">
            <v>Tỷ lệ nhận biết brand/ (thương hiệu sản phẩm dịch vụ chính) ngoài Vinaphone.</v>
          </cell>
        </row>
        <row r="144">
          <cell r="F144" t="str">
            <v>I6</v>
          </cell>
          <cell r="G144" t="str">
            <v>I62</v>
          </cell>
          <cell r="H144">
            <v>2</v>
          </cell>
          <cell r="I144" t="str">
            <v>Tỷ lệ các điểm bán lẻ có treo bảng biển của Vinaphone đúng chuẩn</v>
          </cell>
        </row>
        <row r="145">
          <cell r="F145" t="str">
            <v>I6</v>
          </cell>
          <cell r="G145" t="str">
            <v>I621</v>
          </cell>
          <cell r="H145">
            <v>21</v>
          </cell>
          <cell r="I145" t="str">
            <v>Biển hiệu theo quy chuẩn nhận diện thương hiệu VNPT</v>
          </cell>
        </row>
        <row r="146">
          <cell r="F146" t="str">
            <v>I6</v>
          </cell>
          <cell r="G146" t="str">
            <v>I622</v>
          </cell>
          <cell r="H146">
            <v>22</v>
          </cell>
          <cell r="I146" t="str">
            <v>Biển hiệu được treo, dựng ở vị trí dễ quan sát</v>
          </cell>
        </row>
        <row r="147">
          <cell r="F147" t="str">
            <v>I6</v>
          </cell>
          <cell r="G147" t="str">
            <v>I63</v>
          </cell>
          <cell r="H147">
            <v>3</v>
          </cell>
          <cell r="I147" t="str">
            <v>- Hiệu quả truyền thông thương hiệu+ FanPage: share, like+ PR+ Website</v>
          </cell>
        </row>
        <row r="148">
          <cell r="F148" t="str">
            <v>I7</v>
          </cell>
          <cell r="G148" t="str">
            <v>I7</v>
          </cell>
          <cell r="H148" t="str">
            <v>Phát triển tích hợp đa dịch vụ/khách hàng</v>
          </cell>
        </row>
        <row r="149">
          <cell r="F149" t="str">
            <v>I7</v>
          </cell>
          <cell r="G149" t="str">
            <v>I71</v>
          </cell>
          <cell r="H149">
            <v>1</v>
          </cell>
          <cell r="I149" t="str">
            <v>Tỷ lệ khách hàng sử dụng 2 dịch vụ trở lên (áp dụng với nhóm KH Doanh nghiệp, internet/ MyTV với KH cá nhân) hoặc:Tỷ lệ khách hàng sử dụng thêm dịch vụ</v>
          </cell>
        </row>
        <row r="150">
          <cell r="F150" t="str">
            <v>I7</v>
          </cell>
          <cell r="G150" t="str">
            <v>I72</v>
          </cell>
          <cell r="H150">
            <v>2</v>
          </cell>
          <cell r="I150" t="str">
            <v>Tỷ lệ khách hàng sử dụng đa dịch vụ được quản lý chung một account/ID</v>
          </cell>
        </row>
        <row r="151">
          <cell r="F151" t="str">
            <v>I8</v>
          </cell>
          <cell r="G151" t="str">
            <v>I8</v>
          </cell>
          <cell r="H151" t="str">
            <v>Phát triển dịch vụ mới giá trị</v>
          </cell>
        </row>
        <row r="152">
          <cell r="F152" t="str">
            <v>I8</v>
          </cell>
          <cell r="G152" t="str">
            <v>I81</v>
          </cell>
          <cell r="H152">
            <v>1</v>
          </cell>
          <cell r="I152" t="str">
            <v>Số lượng báo cáo khả thi về sản phẩm dịch vụ mới (GTGT) được lựa chọn để triển khai</v>
          </cell>
        </row>
        <row r="153">
          <cell r="F153" t="str">
            <v>I8</v>
          </cell>
          <cell r="G153" t="str">
            <v>I82</v>
          </cell>
          <cell r="H153">
            <v>2</v>
          </cell>
          <cell r="I153" t="str">
            <v>Số lượng dịch vụ phần mềm &amp; CNTT được phát triển và thương mại hóa thành công</v>
          </cell>
        </row>
        <row r="154">
          <cell r="F154" t="str">
            <v>I8</v>
          </cell>
          <cell r="G154" t="str">
            <v>I83</v>
          </cell>
          <cell r="H154">
            <v>3</v>
          </cell>
          <cell r="I154" t="str">
            <v>Số lượng dịch vụ GTGT được thương mại hóa thành công</v>
          </cell>
        </row>
        <row r="155">
          <cell r="F155" t="str">
            <v>L1</v>
          </cell>
          <cell r="G155" t="str">
            <v>L1</v>
          </cell>
          <cell r="H155" t="str">
            <v>Nâng cao năng lực đội ngũ quản lý, bán hàng, DVKH</v>
          </cell>
        </row>
        <row r="156">
          <cell r="F156" t="str">
            <v>L1</v>
          </cell>
          <cell r="G156" t="str">
            <v>L11</v>
          </cell>
          <cell r="H156">
            <v>1</v>
          </cell>
          <cell r="I156" t="str">
            <v>PA1: Tỷ lệ CBQL được chuẩn hóa năng lực qua đào tạoPA2: Tỷ lệ CBQL đáp ứng chuẩn năng lực vị trí</v>
          </cell>
        </row>
        <row r="157">
          <cell r="F157" t="str">
            <v>L1</v>
          </cell>
          <cell r="G157" t="str">
            <v>L12</v>
          </cell>
          <cell r="H157">
            <v>2</v>
          </cell>
          <cell r="I157" t="str">
            <v>Tỷ lệ (hoặc số lượng) nhân viên bán hàng và dịch vụ khách hàng được đào tạo theo chuẩn dịch vụ khách hàng mới.</v>
          </cell>
        </row>
        <row r="158">
          <cell r="F158" t="str">
            <v>L2</v>
          </cell>
          <cell r="G158" t="str">
            <v>L2</v>
          </cell>
          <cell r="H158" t="str">
            <v>Xây dựng hệ thống quản trị doanh nghiệp hiện đại, hiệu quả</v>
          </cell>
        </row>
        <row r="159">
          <cell r="F159" t="str">
            <v>L2</v>
          </cell>
          <cell r="G159" t="str">
            <v>L21</v>
          </cell>
          <cell r="H159">
            <v>1</v>
          </cell>
          <cell r="I159" t="str">
            <v>Tỷ lệ các quy trình quản lý vận hành (CRM, OS) được xây dựng đạt chuẩn tiên tiến</v>
          </cell>
        </row>
        <row r="160">
          <cell r="F160" t="str">
            <v>L2</v>
          </cell>
          <cell r="G160" t="str">
            <v>L22</v>
          </cell>
          <cell r="H160">
            <v>2</v>
          </cell>
          <cell r="I160" t="str">
            <v>Số lượng quy trình quản trị nhân sự đạt chuẩn tiên tiến</v>
          </cell>
        </row>
        <row r="161">
          <cell r="F161" t="str">
            <v>L2</v>
          </cell>
          <cell r="G161" t="str">
            <v>L23</v>
          </cell>
          <cell r="H161">
            <v>3</v>
          </cell>
          <cell r="I161" t="str">
            <v>Tỷ lệ CBNV hiểu về VHDN VNPT-Vinaphone</v>
          </cell>
        </row>
        <row r="162">
          <cell r="F162" t="str">
            <v>L2</v>
          </cell>
          <cell r="G162" t="str">
            <v>L24</v>
          </cell>
          <cell r="H162">
            <v>4</v>
          </cell>
          <cell r="I162" t="str">
            <v>Mức độ triển khai BSC/KPIs tại đơn vị ( báo cáo đúng hạn, chính xác).</v>
          </cell>
        </row>
        <row r="163">
          <cell r="F163" t="str">
            <v>L2</v>
          </cell>
          <cell r="G163" t="str">
            <v>L241</v>
          </cell>
          <cell r="H163">
            <v>41</v>
          </cell>
          <cell r="I163" t="str">
            <v>Thời hạn báo cáo kết quả thực hiện BSC/KPIs</v>
          </cell>
        </row>
        <row r="164">
          <cell r="F164" t="str">
            <v>L2</v>
          </cell>
          <cell r="G164" t="str">
            <v>L242</v>
          </cell>
          <cell r="H164">
            <v>42</v>
          </cell>
          <cell r="I164" t="str">
            <v>Số liệu báo cáo thực hiện BSC/KPIs</v>
          </cell>
        </row>
        <row r="165">
          <cell r="F165" t="str">
            <v>L3</v>
          </cell>
          <cell r="G165" t="str">
            <v>L3</v>
          </cell>
          <cell r="H165" t="str">
            <v>Ứng dụng  CNTT trong các chức năng chiến lược</v>
          </cell>
        </row>
        <row r="166">
          <cell r="G166" t="str">
            <v>L31</v>
          </cell>
          <cell r="H166">
            <v>1</v>
          </cell>
          <cell r="I166" t="str">
            <v>GĐ1: Hoàn thành 'Tỷ lệ khách hàng chuyển đổi sang hệ thống cơ sở dữ liệu khách hàng tập trung</v>
          </cell>
        </row>
        <row r="167">
          <cell r="G167" t="str">
            <v>L32</v>
          </cell>
          <cell r="H167">
            <v>2</v>
          </cell>
          <cell r="I167" t="str">
            <v>PA1: Số lượng các quy trình tác nghiệp (CRM, HRM, AMS…) được onlinePA2: Số phần mềm quản trị được triển khai ứng dụng (CRM, HRM, AMS)</v>
          </cell>
        </row>
        <row r="168">
          <cell r="G168" t="str">
            <v>L33</v>
          </cell>
          <cell r="H168">
            <v>3</v>
          </cell>
          <cell r="I168" t="str">
            <v>Tiến độ và chất lượng báo cáo theo quy định</v>
          </cell>
        </row>
        <row r="169">
          <cell r="G169" t="str">
            <v>L331</v>
          </cell>
          <cell r="H169">
            <v>31</v>
          </cell>
          <cell r="I169" t="str">
            <v>Tiến độ gửi báo cáo</v>
          </cell>
        </row>
        <row r="170">
          <cell r="G170" t="str">
            <v>L332</v>
          </cell>
          <cell r="H170">
            <v>32</v>
          </cell>
          <cell r="I170" t="str">
            <v>Chất lượng/ số liệu báo cáo</v>
          </cell>
        </row>
      </sheetData>
      <sheetData sheetId="2">
        <row r="4">
          <cell r="V4" t="str">
            <v>Tổng Công ty(Quý 4)</v>
          </cell>
          <cell r="W4" t="str">
            <v>Ban TGĐ</v>
          </cell>
          <cell r="X4" t="str">
            <v>Ban Nhân sự</v>
          </cell>
          <cell r="Y4" t="str">
            <v>Ban Kế toán-Tài chính</v>
          </cell>
          <cell r="Z4" t="str">
            <v>Văn phòng</v>
          </cell>
          <cell r="AA4" t="str">
            <v>Ban Chất lượng</v>
          </cell>
          <cell r="AB4" t="str">
            <v>Ban Kỹ thuật - Nghiệp vụ</v>
          </cell>
          <cell r="AC4" t="str">
            <v>Ban Kế hoạch Đầu tư</v>
          </cell>
          <cell r="AD4" t="str">
            <v>Ban QLDA</v>
          </cell>
          <cell r="AE4" t="str">
            <v>Ban NCTT&amp;PTDV</v>
          </cell>
          <cell r="AF4" t="str">
            <v>Ban KHCN</v>
          </cell>
          <cell r="AG4" t="str">
            <v>Ban KHDN</v>
          </cell>
          <cell r="AH4" t="str">
            <v>TT Kinh doanh tỉnh/TP</v>
          </cell>
          <cell r="AI4" t="str">
            <v>VNPT Data</v>
          </cell>
          <cell r="AJ4" t="str">
            <v>VNPT Soft</v>
          </cell>
          <cell r="AK4" t="str">
            <v>TTHTBH miền Trung</v>
          </cell>
          <cell r="AL4" t="str">
            <v>TTHTBH miền Nam</v>
          </cell>
        </row>
        <row r="6">
          <cell r="E6" t="str">
            <v>F11</v>
          </cell>
          <cell r="F6" t="str">
            <v>Tỷ lệ lãi gộp/Doanh thu thuần</v>
          </cell>
          <cell r="J6" t="str">
            <v>%</v>
          </cell>
          <cell r="K6" t="str">
            <v>Quý</v>
          </cell>
          <cell r="L6" t="str">
            <v>Chưa giao</v>
          </cell>
          <cell r="M6" t="str">
            <v>Ban KHĐT</v>
          </cell>
          <cell r="N6" t="str">
            <v>Ban KHĐTBan KTTC</v>
          </cell>
          <cell r="O6" t="str">
            <v>KQTH= 100%*Lãi gộp/ Doanh thu thuần</v>
          </cell>
          <cell r="P6" t="str">
            <v xml:space="preserve">MĐHT=100%*KQTH/ Chỉ tiêu giao                     </v>
          </cell>
          <cell r="Q6" t="str">
            <v>DT thuần=DT bán hàng và cung cấp DV- Các khoản giảm trừ DT(gồm:CKTM,GGHB, Hàng bán bị trả lại, Thuế TTĐB, Thuế xuất khẩu và vat nếu theo pp trực tiếp).</v>
          </cell>
          <cell r="W6" t="str">
            <v>Tỷ lệ lãi gộp/Doanh thu thuần</v>
          </cell>
          <cell r="AF6" t="str">
            <v>Tỷ lệ lãi gộp/Doanh thu thuần</v>
          </cell>
          <cell r="AG6" t="str">
            <v>Tỷ lệ lãi gộp/Doanh thu thuần</v>
          </cell>
          <cell r="AH6" t="str">
            <v>Tỷ lệ lãi gộp/Doanh thu thuần</v>
          </cell>
        </row>
        <row r="7">
          <cell r="E7" t="str">
            <v>F12</v>
          </cell>
          <cell r="F7" t="str">
            <v>Lợi nhuận/ Tài sản</v>
          </cell>
          <cell r="J7" t="str">
            <v>%</v>
          </cell>
          <cell r="K7" t="str">
            <v>Quý</v>
          </cell>
          <cell r="L7" t="str">
            <v>Chưa giao</v>
          </cell>
          <cell r="M7" t="str">
            <v>Ban KHĐT</v>
          </cell>
          <cell r="N7" t="str">
            <v>Ban KHĐTBan KTTC</v>
          </cell>
          <cell r="O7" t="str">
            <v xml:space="preserve">                  100%* Lợi nhuậnKQTH=---------------------------------           Tài sản + CFXDCB dở dang</v>
          </cell>
          <cell r="P7" t="str">
            <v xml:space="preserve">MĐHT=100%*KQTH/ Chỉ tiêu giao                     </v>
          </cell>
          <cell r="AE7" t="str">
            <v>Thị phần di động</v>
          </cell>
          <cell r="AG7" t="str">
            <v>Lợi nhuận/ Tài sản</v>
          </cell>
        </row>
        <row r="8">
          <cell r="E8" t="str">
            <v>F21</v>
          </cell>
          <cell r="F8" t="str">
            <v>Tổng doanh thu</v>
          </cell>
          <cell r="G8">
            <v>0.3</v>
          </cell>
          <cell r="H8">
            <v>3806990.1440430721</v>
          </cell>
          <cell r="I8">
            <v>3936755.9143734244</v>
          </cell>
          <cell r="J8" t="str">
            <v>Triệu đồng</v>
          </cell>
          <cell r="K8" t="str">
            <v>Quý</v>
          </cell>
          <cell r="L8" t="str">
            <v>Giao Q4, theo DV</v>
          </cell>
          <cell r="M8" t="str">
            <v>Ban KHĐT</v>
          </cell>
          <cell r="N8" t="str">
            <v>Ban KHĐT</v>
          </cell>
          <cell r="O8" t="str">
            <v>Thống kê Tổng doanh thu</v>
          </cell>
          <cell r="P8" t="str">
            <v xml:space="preserve">MĐHT=100%*KQTH/ Chỉ tiêu giao                     </v>
          </cell>
          <cell r="V8" t="str">
            <v>Tổng doanh thu</v>
          </cell>
          <cell r="W8" t="str">
            <v>Tổng doanh thu</v>
          </cell>
          <cell r="X8" t="str">
            <v>Tổng doanh thu</v>
          </cell>
          <cell r="Y8" t="str">
            <v>Tổng doanh thu</v>
          </cell>
          <cell r="Z8" t="str">
            <v>Tổng doanh thu</v>
          </cell>
          <cell r="AA8" t="str">
            <v>Tổng doanh thu</v>
          </cell>
          <cell r="AB8" t="str">
            <v>Tổng doanh thu</v>
          </cell>
          <cell r="AC8" t="str">
            <v>Tổng doanh thu</v>
          </cell>
          <cell r="AD8" t="str">
            <v>Tổng doanh thu</v>
          </cell>
          <cell r="AE8" t="str">
            <v>Tổng doanh thu</v>
          </cell>
          <cell r="AF8" t="str">
            <v>Tổng doanh thu</v>
          </cell>
          <cell r="AG8" t="str">
            <v>Tổng doanh thu</v>
          </cell>
          <cell r="AH8" t="str">
            <v>Tổng doanh thu</v>
          </cell>
          <cell r="AI8" t="str">
            <v>Tổng doanh thu dịch vụ IDC</v>
          </cell>
          <cell r="AJ8" t="str">
            <v>Tổng doanh thu dịch vụ VNPT-CA</v>
          </cell>
          <cell r="AK8" t="str">
            <v>Tổng doanh thu</v>
          </cell>
          <cell r="AL8" t="str">
            <v>Tổng doanh thu</v>
          </cell>
        </row>
        <row r="9">
          <cell r="E9" t="str">
            <v>F211</v>
          </cell>
          <cell r="F9" t="str">
            <v>Doanh thu di động</v>
          </cell>
          <cell r="J9" t="str">
            <v>Triệu đồng</v>
          </cell>
          <cell r="K9" t="str">
            <v>Quý</v>
          </cell>
          <cell r="L9" t="str">
            <v>Giao Q4, theo DV</v>
          </cell>
          <cell r="M9" t="str">
            <v>Ban KHĐT</v>
          </cell>
          <cell r="N9" t="str">
            <v>Ban KHĐT</v>
          </cell>
          <cell r="O9" t="str">
            <v>Thống kê Tổng doanh thu</v>
          </cell>
          <cell r="P9" t="str">
            <v xml:space="preserve">MĐHT=100%*KQTH/ Chỉ tiêu giao                     </v>
          </cell>
          <cell r="AF9" t="str">
            <v>Doanh thu di động</v>
          </cell>
          <cell r="AK9" t="str">
            <v>Doanh thu di động</v>
          </cell>
          <cell r="AL9" t="str">
            <v>Doanh thu di động</v>
          </cell>
        </row>
        <row r="10">
          <cell r="E10" t="str">
            <v>F212</v>
          </cell>
          <cell r="F10" t="str">
            <v>Doanh thu Data trên dịch vụ di động</v>
          </cell>
          <cell r="J10" t="str">
            <v>Triệu đồng</v>
          </cell>
          <cell r="K10" t="str">
            <v>Quý</v>
          </cell>
          <cell r="L10" t="str">
            <v>Giao Q4, theo DV</v>
          </cell>
          <cell r="M10" t="str">
            <v>Ban KHĐT</v>
          </cell>
          <cell r="N10" t="str">
            <v>Ban KHĐT</v>
          </cell>
          <cell r="O10" t="str">
            <v>Thống kê Tổng doanh thu</v>
          </cell>
          <cell r="P10" t="str">
            <v xml:space="preserve">MĐHT=100%*KQTH/ Chỉ tiêu giao                     </v>
          </cell>
          <cell r="AF10" t="str">
            <v>Doanh thu Data trên dịch vụ di động</v>
          </cell>
          <cell r="AK10" t="str">
            <v>Doanh thu Data trên dịch vụ di động</v>
          </cell>
          <cell r="AL10" t="str">
            <v>Doanh thu Data trên dịch vụ di động</v>
          </cell>
        </row>
        <row r="11">
          <cell r="E11" t="str">
            <v>F213</v>
          </cell>
          <cell r="F11" t="str">
            <v>Doanh thu GTGT trên dịch vụ di động</v>
          </cell>
          <cell r="J11" t="str">
            <v>Triệu đồng</v>
          </cell>
          <cell r="K11" t="str">
            <v>Quý</v>
          </cell>
          <cell r="L11" t="str">
            <v>Giao Q4, theo DV</v>
          </cell>
          <cell r="M11" t="str">
            <v>Ban KHĐT</v>
          </cell>
          <cell r="N11" t="str">
            <v>Ban KHĐT</v>
          </cell>
          <cell r="O11" t="str">
            <v>Thống kê Tổng doanh thu</v>
          </cell>
          <cell r="P11" t="str">
            <v xml:space="preserve">MĐHT=100%*KQTH/ Chỉ tiêu giao                     </v>
          </cell>
          <cell r="AF11" t="str">
            <v>Doanh thu GTGT trên dịch vụ di động</v>
          </cell>
          <cell r="AK11" t="str">
            <v>Doanh thu GTGT trên dịch vụ di động</v>
          </cell>
          <cell r="AL11" t="str">
            <v>Doanh thu GTGT trên dịch vụ di động</v>
          </cell>
        </row>
        <row r="12">
          <cell r="E12" t="str">
            <v>F214</v>
          </cell>
          <cell r="F12" t="str">
            <v>Doanh thu khách hàng tổ chức, doanh nghiệp</v>
          </cell>
          <cell r="J12" t="str">
            <v>Triệu đồng</v>
          </cell>
          <cell r="K12" t="str">
            <v>Quý</v>
          </cell>
          <cell r="L12" t="str">
            <v>Giao Q4, theo DV</v>
          </cell>
          <cell r="M12" t="str">
            <v>Ban KHĐT</v>
          </cell>
          <cell r="N12" t="str">
            <v>Ban KHĐT</v>
          </cell>
          <cell r="O12" t="str">
            <v>Thống kê Tổng doanh thu</v>
          </cell>
          <cell r="P12" t="str">
            <v xml:space="preserve">MĐHT=100%*KQTH/ Chỉ tiêu giao                     </v>
          </cell>
          <cell r="AK12" t="str">
            <v>Doanh thu khách hàng tổ chức, doanh nghiệp</v>
          </cell>
          <cell r="AL12" t="str">
            <v>Doanh thu khách hàng tổ chức, doanh nghiệp</v>
          </cell>
        </row>
        <row r="13">
          <cell r="E13" t="str">
            <v>F22</v>
          </cell>
          <cell r="F13" t="str">
            <v>Tỷ trọng  doanh thu từ sản phẩm/ dịch vụ mới (trong vòng 2 năm)</v>
          </cell>
          <cell r="J13" t="str">
            <v>%</v>
          </cell>
          <cell r="K13" t="str">
            <v>Quý</v>
          </cell>
          <cell r="L13" t="str">
            <v>Chưa giao</v>
          </cell>
          <cell r="M13" t="str">
            <v>Ban KHĐT</v>
          </cell>
          <cell r="N13" t="str">
            <v>Ban KHĐT</v>
          </cell>
          <cell r="O13" t="str">
            <v>KQTH=100%*Doanh thu từ SPDV mới/ Tổng doanh thu</v>
          </cell>
          <cell r="P13" t="str">
            <v xml:space="preserve">MĐHT=100%*KQTH/ Chỉ tiêu giao                     </v>
          </cell>
          <cell r="W13" t="str">
            <v>Tỷ trọng  doanh thu từ sản phẩm/ dịch vụ mới (trong vòng 2 năm)</v>
          </cell>
          <cell r="AF13" t="str">
            <v>Tỷ trọng  doanh thu từ sản phẩm/ dịch vụ mới (trong vòng 2 năm)</v>
          </cell>
          <cell r="AG13" t="str">
            <v>- Tỷ trọng  doanh thu từ sản phẩm/ dịch vụ mới (trong vòng 2 năm)- Tỷ trọng doanh thu từ DV IDC (xem xét chỉ tiêu thị phần dịch vụ này)</v>
          </cell>
          <cell r="AH13" t="str">
            <v>Tỷ trọng  doanh thu từ sản phẩm/ dịch vụ mới (trong vòng 2 năm)</v>
          </cell>
          <cell r="AI13" t="str">
            <v>Tỷ trọng doanh thu từ SPDV mới/giải pháp tích hợp phát triển được trong vòng 2 năm</v>
          </cell>
          <cell r="AJ13" t="str">
            <v>Tỷ trọng  doanh thu từ sản phẩm/ dịch vụ mới (trong vòng 2 năm)</v>
          </cell>
        </row>
        <row r="14">
          <cell r="E14" t="str">
            <v>F23</v>
          </cell>
          <cell r="F14" t="str">
            <v>Tăng tỷ trọng doanh thu từ khách hàng mới</v>
          </cell>
          <cell r="J14" t="str">
            <v>%</v>
          </cell>
          <cell r="K14" t="str">
            <v>Quý</v>
          </cell>
          <cell r="L14" t="str">
            <v>Chưa giao</v>
          </cell>
          <cell r="M14" t="str">
            <v>Ban KHĐT</v>
          </cell>
          <cell r="N14" t="str">
            <v>Ban KHĐT</v>
          </cell>
          <cell r="O14" t="str">
            <v>KQTH=( Tỷ trọng DT từ KH mới cuối Quý - Tỷ trọng DT từ KH mới đầu Quý).</v>
          </cell>
          <cell r="P14" t="str">
            <v xml:space="preserve">MĐHT=100%*KQTH/ Chỉ tiêu giao                     </v>
          </cell>
          <cell r="W14" t="str">
            <v>Tăng tỷ trọng doanh thu từ khách hàng mới</v>
          </cell>
          <cell r="AF14" t="str">
            <v>Tăng tỷ trọng doanh thu từ khách hàng mới</v>
          </cell>
          <cell r="AG14" t="str">
            <v>Tăng tỷ trọng doanh thu từ khách hàng mới</v>
          </cell>
          <cell r="AH14" t="str">
            <v>- Tăng tỷ trọng doanh thu từ khách hàng mới- Tăng tỷ trọng doanh thu từ khách hàng doanh nghiệp</v>
          </cell>
        </row>
        <row r="15">
          <cell r="E15" t="str">
            <v>F24</v>
          </cell>
          <cell r="F15" t="str">
            <v>Tỷ trọng doanh thu từ dịch vụ CNTT</v>
          </cell>
          <cell r="J15" t="str">
            <v>%</v>
          </cell>
          <cell r="K15" t="str">
            <v>Quý</v>
          </cell>
          <cell r="L15" t="str">
            <v>Chưa giao ( giao KHDN &amp; VNPT Soft)</v>
          </cell>
          <cell r="M15" t="str">
            <v>Ban KHĐT</v>
          </cell>
          <cell r="N15" t="str">
            <v>Ban KHĐT</v>
          </cell>
          <cell r="O15" t="str">
            <v>KQTH=100%*Doanh thu từ CNTT/ Tổng doanh thu</v>
          </cell>
          <cell r="P15" t="str">
            <v xml:space="preserve">MĐHT=100%*KQTH/ Chỉ tiêu giao                     </v>
          </cell>
          <cell r="W15" t="str">
            <v>Tỷ trọng doanh thu từ dịch vụ CNTT</v>
          </cell>
          <cell r="AG15" t="str">
            <v>Tỷ trọng doanh thu từ dịch vụ CNTT</v>
          </cell>
          <cell r="AH15" t="str">
            <v>Tỷ trọng doanh thu từ dịch vụ CNTT</v>
          </cell>
          <cell r="AJ15" t="str">
            <v>Tỷ trọng doanh thu từ dịch vụ CNTT</v>
          </cell>
        </row>
        <row r="16">
          <cell r="E16" t="str">
            <v>F31</v>
          </cell>
          <cell r="F16" t="str">
            <v>Hệ số doanh thu/chi phí ( không bao gồm khấu hao, tiền lương, chi phí HTKD)</v>
          </cell>
          <cell r="G16">
            <v>0.05</v>
          </cell>
          <cell r="I16" t="str">
            <v>≥ 7</v>
          </cell>
          <cell r="K16" t="str">
            <v>Quý</v>
          </cell>
          <cell r="L16" t="str">
            <v>Giao Q4</v>
          </cell>
          <cell r="M16" t="str">
            <v>Ban KHĐT</v>
          </cell>
          <cell r="N16" t="str">
            <v>Ban KHĐT</v>
          </cell>
          <cell r="O16" t="str">
            <v>KQTH=Tổng doanh thu/ Tổng Chi phí</v>
          </cell>
          <cell r="P16" t="str">
            <v xml:space="preserve">MĐHT=100%*KQTH/ Chỉ tiêu giaoMĐHT tối đa 100%            </v>
          </cell>
          <cell r="V16" t="str">
            <v>Hệ số doanh thu/chi phí ( không bao gồm khấu hao, tiền lương, chi phí HTKD)</v>
          </cell>
          <cell r="AE16" t="str">
            <v>Tỷ lệ chi phí Marketing/ Doanh thu thuần</v>
          </cell>
          <cell r="AF16" t="str">
            <v>Hệ số doanh thu/chi phí ( không bao gồm khấu hao, tiền lương, chi phí HTKD)</v>
          </cell>
          <cell r="AG16" t="str">
            <v>Hệ số doanh thu/chi phí ( không bao gồm khấu hao, tiền lương, chi phí HTKD)</v>
          </cell>
          <cell r="AH16" t="str">
            <v>Hệ số doanh thu/chi phí ( không bao gồm khấu hao, tiền lương, chi phí HTKD)</v>
          </cell>
          <cell r="AI16" t="str">
            <v>Tỷ lệ thực hiện chi phí</v>
          </cell>
          <cell r="AJ16" t="str">
            <v>Tỷ lệ thực hiện chi phí</v>
          </cell>
          <cell r="AK16" t="str">
            <v>Tỷ lệ thực hiện chi phí</v>
          </cell>
          <cell r="AL16" t="str">
            <v>Tỷ lệ thực hiện chi phí</v>
          </cell>
        </row>
        <row r="17">
          <cell r="E17" t="str">
            <v>F32</v>
          </cell>
          <cell r="F17" t="str">
            <v>Tỷ lệ chi phí lao động/Doanh thu thuần</v>
          </cell>
          <cell r="J17" t="str">
            <v>%</v>
          </cell>
          <cell r="K17" t="str">
            <v>Quý</v>
          </cell>
          <cell r="L17" t="str">
            <v>Chưa giao</v>
          </cell>
          <cell r="M17" t="str">
            <v>Ban KHĐT</v>
          </cell>
          <cell r="N17" t="str">
            <v>Ban KHĐT</v>
          </cell>
          <cell r="O17" t="str">
            <v>Chi phí lao động/Doanh thu thuần</v>
          </cell>
          <cell r="P17" t="str">
            <v xml:space="preserve">MĐHT=100%*KQTH/ Chỉ tiêu giao                     </v>
          </cell>
          <cell r="X17" t="str">
            <v>Tỷ lệ chi phí lao động/Doanh thu thuần</v>
          </cell>
          <cell r="AF17" t="str">
            <v>Tỷ lệ chi phí lao động/Doanh thu thuần</v>
          </cell>
          <cell r="AG17" t="str">
            <v>Tỷ lệ chi phí lao động/Doanh thu thuần</v>
          </cell>
          <cell r="AH17" t="str">
            <v>Tỷ lệ chi phí lao động/Doanh thu thuần</v>
          </cell>
        </row>
        <row r="18">
          <cell r="E18" t="str">
            <v>F33</v>
          </cell>
          <cell r="F18" t="str">
            <v>Hệ số nợ</v>
          </cell>
          <cell r="G18">
            <v>0.05</v>
          </cell>
          <cell r="I18">
            <v>1</v>
          </cell>
          <cell r="J18" t="str">
            <v>Số tháng nợ</v>
          </cell>
          <cell r="K18" t="str">
            <v>Quý</v>
          </cell>
          <cell r="L18" t="str">
            <v>Giao Q4</v>
          </cell>
          <cell r="M18" t="str">
            <v>Ban KTTC</v>
          </cell>
          <cell r="N18" t="str">
            <v>Ban KTTC</v>
          </cell>
          <cell r="O18" t="str">
            <v>KQTH= Số dư phải thu khách hàng cuối quý ( không bao gồm số phải thu khối HTPT)/ Doanh thu KH bình quân quý</v>
          </cell>
          <cell r="P18" t="str">
            <v xml:space="preserve">MĐHT=100%*KQTH/ Chỉ tiêu giao                     </v>
          </cell>
          <cell r="V18" t="str">
            <v>Hệ số nợ</v>
          </cell>
          <cell r="W18" t="str">
            <v>Hệ số nợ</v>
          </cell>
          <cell r="Y18" t="str">
            <v>Hệ số nợ</v>
          </cell>
          <cell r="AF18" t="str">
            <v>Hệ số nợ</v>
          </cell>
          <cell r="AG18" t="str">
            <v>Hệ số nợ</v>
          </cell>
          <cell r="AH18" t="str">
            <v>Hệ số nợ</v>
          </cell>
          <cell r="AK18" t="str">
            <v>Hệ số nợ</v>
          </cell>
          <cell r="AL18" t="str">
            <v>Hệ số nợ</v>
          </cell>
        </row>
        <row r="19">
          <cell r="E19" t="str">
            <v>F41</v>
          </cell>
          <cell r="F19" t="str">
            <v>Thị phần di động</v>
          </cell>
          <cell r="G19">
            <v>0.1</v>
          </cell>
          <cell r="I19">
            <v>21</v>
          </cell>
          <cell r="J19" t="str">
            <v>%</v>
          </cell>
          <cell r="K19" t="str">
            <v>Quý</v>
          </cell>
          <cell r="L19" t="str">
            <v>Giao Quý IV/tỷ trọng thấp</v>
          </cell>
          <cell r="M19" t="str">
            <v>Ban NCTT&amp;PTDV</v>
          </cell>
          <cell r="N19" t="str">
            <v>Ban NCTT&amp;PTDV</v>
          </cell>
          <cell r="O19" t="str">
            <v>Thống kê</v>
          </cell>
          <cell r="P19" t="str">
            <v xml:space="preserve">MĐHT=100%*KQTH/ Chỉ tiêu giao                     </v>
          </cell>
          <cell r="V19" t="str">
            <v>Thị phần di động</v>
          </cell>
          <cell r="AE19" t="str">
            <v>Thị phần dịch vụ di động</v>
          </cell>
          <cell r="AF19" t="str">
            <v>Thị phần dịch vụ di động</v>
          </cell>
          <cell r="AH19" t="str">
            <v>Tăng trưởng thị phần di động</v>
          </cell>
        </row>
        <row r="20">
          <cell r="E20" t="str">
            <v>F42</v>
          </cell>
          <cell r="F20" t="str">
            <v>Tăng trưởng doanh thu từ dịch vụ chính:</v>
          </cell>
          <cell r="J20" t="str">
            <v>%</v>
          </cell>
          <cell r="K20" t="str">
            <v>Quý</v>
          </cell>
          <cell r="L20" t="str">
            <v>Chưa giao</v>
          </cell>
          <cell r="M20" t="str">
            <v>Ban KHĐT</v>
          </cell>
          <cell r="N20" t="str">
            <v>Ban KHĐT</v>
          </cell>
          <cell r="O20" t="str">
            <v>KQTH=100%*( Doanh thu DV chính tại Quý đánh giá - Doanh thu DV chính cùng Quý năm trước)/ DTDV chính năm trước</v>
          </cell>
          <cell r="P20" t="str">
            <v xml:space="preserve">MĐHT=100%*KQTH/ Chỉ tiêu giao                     </v>
          </cell>
          <cell r="AF20" t="str">
            <v>Tăng trưởng doanh thu từ dịch vụ chính:</v>
          </cell>
          <cell r="AH20" t="str">
            <v>Tăng trưởng Doanh thu từ dịch vụ chính:</v>
          </cell>
        </row>
        <row r="21">
          <cell r="E21" t="str">
            <v>F421</v>
          </cell>
          <cell r="F21" t="str">
            <v>Tăng trưởng từ dịch vụ Data trên di động</v>
          </cell>
          <cell r="J21" t="str">
            <v>%</v>
          </cell>
          <cell r="K21" t="str">
            <v>Quý</v>
          </cell>
          <cell r="L21" t="str">
            <v>Chưa giao</v>
          </cell>
          <cell r="M21" t="str">
            <v>Ban KHĐT</v>
          </cell>
          <cell r="N21" t="str">
            <v>Ban KHĐT</v>
          </cell>
          <cell r="AF21" t="str">
            <v>Tăng trưởng từ dịch vụ Data trên di động</v>
          </cell>
          <cell r="AH21" t="str">
            <v>Tăng trưởng từ dịch vụ Data trên di động</v>
          </cell>
        </row>
        <row r="22">
          <cell r="E22" t="str">
            <v>F422</v>
          </cell>
          <cell r="F22" t="str">
            <v>Tăng trưởng từ dịch vụ GTGT trên di động</v>
          </cell>
          <cell r="J22" t="str">
            <v>%</v>
          </cell>
          <cell r="K22" t="str">
            <v>Quý</v>
          </cell>
          <cell r="M22" t="str">
            <v>Ban KHĐT</v>
          </cell>
          <cell r="N22" t="str">
            <v>Ban KHĐT</v>
          </cell>
          <cell r="AF22" t="str">
            <v>Tăng trưởng từ dịch vụ GTGT trên di động</v>
          </cell>
          <cell r="AH22" t="str">
            <v>Tăng trưởng từ dịch vụ GTGT trên di động</v>
          </cell>
        </row>
        <row r="23">
          <cell r="E23" t="str">
            <v>F43</v>
          </cell>
          <cell r="F23" t="str">
            <v>Thuê bao phát sinh cước thực tăng các dịch vụ</v>
          </cell>
          <cell r="J23" t="str">
            <v>Thuê bao</v>
          </cell>
          <cell r="K23" t="str">
            <v>Quý</v>
          </cell>
          <cell r="L23" t="str">
            <v>Giao Q4</v>
          </cell>
          <cell r="M23" t="str">
            <v>Ban KHĐT</v>
          </cell>
          <cell r="N23" t="str">
            <v>Ban KHĐT</v>
          </cell>
          <cell r="O23" t="str">
            <v>KQTH=Số thuê bao phát sinh cước có đến ngày kết thúc tháng cuối quý - Số thuê bao phát sinh cước có đến ngày kết thúc tháng cuối quý trước liền kề</v>
          </cell>
          <cell r="P23" t="str">
            <v xml:space="preserve">MĐHT=100%*KQTH/ Chỉ tiêu giao                     </v>
          </cell>
          <cell r="V23" t="str">
            <v>Thuê bao phát sinh cước thực tăng các dịch vụ</v>
          </cell>
          <cell r="AH23" t="str">
            <v>Thuê bao phát sinh cước thực tăng các dịch vụ</v>
          </cell>
        </row>
        <row r="24">
          <cell r="E24" t="str">
            <v>F431</v>
          </cell>
          <cell r="F24" t="str">
            <v>Di động trả trước</v>
          </cell>
          <cell r="J24" t="str">
            <v>Thuê bao</v>
          </cell>
          <cell r="K24" t="str">
            <v>Quý</v>
          </cell>
          <cell r="L24" t="str">
            <v>Giao Q4</v>
          </cell>
          <cell r="M24" t="str">
            <v>Ban KHĐT</v>
          </cell>
          <cell r="N24" t="str">
            <v>Ban KHĐT</v>
          </cell>
          <cell r="V24" t="str">
            <v>Di động trả trước</v>
          </cell>
          <cell r="AH24" t="str">
            <v>Di động trả trước</v>
          </cell>
        </row>
        <row r="25">
          <cell r="E25" t="str">
            <v>F432</v>
          </cell>
          <cell r="F25" t="str">
            <v>Di động trả sau</v>
          </cell>
          <cell r="J25" t="str">
            <v>Thuê bao</v>
          </cell>
          <cell r="K25" t="str">
            <v>Quý</v>
          </cell>
          <cell r="L25" t="str">
            <v>Giao Q4</v>
          </cell>
          <cell r="M25" t="str">
            <v>Ban KHĐT</v>
          </cell>
          <cell r="N25" t="str">
            <v>Ban KHĐT</v>
          </cell>
          <cell r="V25" t="str">
            <v>Di động trả sau</v>
          </cell>
          <cell r="AH25" t="str">
            <v>Di động trả sau</v>
          </cell>
        </row>
        <row r="26">
          <cell r="E26" t="str">
            <v>F433</v>
          </cell>
          <cell r="F26" t="str">
            <v>BRCĐ + MyTV</v>
          </cell>
          <cell r="J26" t="str">
            <v>Thuê bao</v>
          </cell>
          <cell r="K26" t="str">
            <v>Quý</v>
          </cell>
          <cell r="L26" t="str">
            <v>Giao Q4</v>
          </cell>
          <cell r="M26" t="str">
            <v>Ban KHĐT</v>
          </cell>
          <cell r="N26" t="str">
            <v>Ban KHĐT</v>
          </cell>
          <cell r="V26" t="str">
            <v>BRCĐ + MyTV</v>
          </cell>
          <cell r="AH26" t="str">
            <v>BRCĐ + MyTV</v>
          </cell>
        </row>
        <row r="27">
          <cell r="E27" t="str">
            <v>F434</v>
          </cell>
          <cell r="F27" t="str">
            <v>Thuê bao CA</v>
          </cell>
          <cell r="J27" t="str">
            <v>Thuê bao</v>
          </cell>
          <cell r="K27" t="str">
            <v>Quý</v>
          </cell>
          <cell r="L27" t="str">
            <v>Giao Q4</v>
          </cell>
          <cell r="M27" t="str">
            <v>Ban KHĐT</v>
          </cell>
          <cell r="N27" t="str">
            <v>Ban KHĐT</v>
          </cell>
          <cell r="V27" t="str">
            <v>Thuê bao CA</v>
          </cell>
          <cell r="AH27" t="str">
            <v>Thuê bao CA</v>
          </cell>
        </row>
        <row r="28">
          <cell r="E28" t="str">
            <v>F435</v>
          </cell>
          <cell r="F28" t="str">
            <v>Sổ liên lạc điện tử</v>
          </cell>
          <cell r="J28" t="str">
            <v>Thuê bao</v>
          </cell>
          <cell r="K28" t="str">
            <v>Quý</v>
          </cell>
          <cell r="L28" t="str">
            <v>Giao Q4</v>
          </cell>
          <cell r="M28" t="str">
            <v>Ban KHĐT</v>
          </cell>
          <cell r="N28" t="str">
            <v>Ban KHĐT</v>
          </cell>
          <cell r="V28" t="str">
            <v>Sổ liên lạc điện tử</v>
          </cell>
          <cell r="AH28" t="str">
            <v>Sổ liên lạc điện tử</v>
          </cell>
        </row>
        <row r="29">
          <cell r="E29" t="str">
            <v>F436</v>
          </cell>
          <cell r="F29" t="str">
            <v>SMS brandname</v>
          </cell>
          <cell r="J29" t="str">
            <v>Thuê bao</v>
          </cell>
          <cell r="K29" t="str">
            <v>Quý</v>
          </cell>
          <cell r="L29" t="str">
            <v>Giao Q4</v>
          </cell>
          <cell r="M29" t="str">
            <v>Ban KHĐT</v>
          </cell>
          <cell r="N29" t="str">
            <v>Ban KHĐT</v>
          </cell>
          <cell r="V29" t="str">
            <v>SMS brandname</v>
          </cell>
          <cell r="AH29" t="str">
            <v>SMS brandname</v>
          </cell>
        </row>
        <row r="30">
          <cell r="G30">
            <v>0.5</v>
          </cell>
        </row>
        <row r="31">
          <cell r="E31" t="str">
            <v>C11</v>
          </cell>
          <cell r="F31" t="str">
            <v>Tỷ lệ khách hàng đánh giá VNP có độ phủ dịch vụ rộng (trên khu vực đã phủ sóng, mạng lưới)</v>
          </cell>
          <cell r="J31" t="str">
            <v>%</v>
          </cell>
          <cell r="K31" t="str">
            <v>06 Tháng</v>
          </cell>
          <cell r="L31" t="str">
            <v>Chưa giao</v>
          </cell>
          <cell r="M31" t="str">
            <v>Ban NCTT&amp;PTDV</v>
          </cell>
          <cell r="N31" t="str">
            <v>Ban NCTT&amp;PTDV</v>
          </cell>
          <cell r="O31" t="str">
            <v>Khảo sát khách hàng</v>
          </cell>
          <cell r="P31" t="str">
            <v xml:space="preserve">MĐHT=100%*KQTH/ Chỉ tiêu giao                     </v>
          </cell>
          <cell r="W31" t="str">
            <v>Tỷ lệ khách hàng đánh giá VNP có độ phủ sóng rộng</v>
          </cell>
          <cell r="AE31" t="str">
            <v>Tỷ lệ khách hàng đánh giá VNP có độ phủ sóng rộng</v>
          </cell>
        </row>
        <row r="32">
          <cell r="E32" t="str">
            <v>C12</v>
          </cell>
          <cell r="F32" t="str">
            <v>Tỷ lệ khách hàng đánh giá dễ tiếp cận dịch vụ</v>
          </cell>
          <cell r="J32" t="str">
            <v>%</v>
          </cell>
          <cell r="K32" t="str">
            <v>06 Tháng</v>
          </cell>
          <cell r="L32" t="str">
            <v>Chưa giao</v>
          </cell>
          <cell r="M32" t="str">
            <v>Ban NCTT&amp;PTDV</v>
          </cell>
          <cell r="N32" t="str">
            <v>Ban NCTT&amp;PTDV</v>
          </cell>
          <cell r="O32" t="str">
            <v>Khảo sát khách hàng</v>
          </cell>
          <cell r="P32" t="str">
            <v xml:space="preserve">MĐHT=100%*KQTH/ Chỉ tiêu giao                     </v>
          </cell>
          <cell r="W32" t="str">
            <v>Tỷ lệ khách hàng đánh giá dễ tiếp cận dịch vụ</v>
          </cell>
          <cell r="AF32" t="str">
            <v>Tỷ lệ khách hàng đánh giá dễ tiếp cận dịch vụ</v>
          </cell>
        </row>
        <row r="33">
          <cell r="E33" t="str">
            <v>C21</v>
          </cell>
          <cell r="F33" t="str">
            <v>Tỷ lệ yêu cầu cung cấp dịch vụ được đáp ứng đúng quy định.</v>
          </cell>
          <cell r="J33" t="str">
            <v>%</v>
          </cell>
          <cell r="K33" t="str">
            <v>06 Tháng</v>
          </cell>
          <cell r="L33" t="str">
            <v>Chưa giao</v>
          </cell>
          <cell r="M33" t="str">
            <v>Ban NCTT&amp;PTDV</v>
          </cell>
          <cell r="N33" t="str">
            <v>Ban NCTT&amp;PTDV</v>
          </cell>
          <cell r="O33" t="str">
            <v>Khảo sát khách hàng</v>
          </cell>
          <cell r="P33" t="str">
            <v xml:space="preserve">MĐHT=100%*KQTH/ Chỉ tiêu giao                     </v>
          </cell>
          <cell r="AB33" t="str">
            <v>Tỷ lệ yêu cầu khai báo dịch vụ GTGT MỚI  được thực hiện đúng hạn</v>
          </cell>
          <cell r="AF33" t="str">
            <v>Tỷ lệ yêu cầu cung cấp dịch vụ được đáp ứng đúng hạn (rút ngắn thời gian phục vụ)</v>
          </cell>
          <cell r="AG33" t="str">
            <v>Tỷ lệ yêu cầu cung cấp dịch vụ được đáp ứng đúng hạn (rút ngắn thời gian phục vụ)</v>
          </cell>
          <cell r="AH33" t="str">
            <v>Tỷ lệ yêu cầu cung cấp dịch vụ được đáp ứng đúng hạn (rút ngắn thời gian phục vụ)</v>
          </cell>
          <cell r="AI33" t="str">
            <v>Tỷ lệ yêu cầu cung cấp dịch vụ được đáp ứng đúng hạn (rút ngắn thời gian phục vụ)</v>
          </cell>
        </row>
        <row r="34">
          <cell r="E34" t="str">
            <v>C22</v>
          </cell>
          <cell r="F34" t="str">
            <v>Tỷ lệ yêu cầu xử lý sự cố được đáp ứng đúng quy định.</v>
          </cell>
          <cell r="J34" t="str">
            <v>%</v>
          </cell>
          <cell r="K34" t="str">
            <v>06 Tháng</v>
          </cell>
          <cell r="L34" t="str">
            <v>Chưa giao</v>
          </cell>
          <cell r="M34" t="str">
            <v>Ban NCTT&amp;PTDV</v>
          </cell>
          <cell r="N34" t="str">
            <v>Ban NCTT&amp;PTDV</v>
          </cell>
          <cell r="O34" t="str">
            <v>Khảo sát khách hàng</v>
          </cell>
          <cell r="P34" t="str">
            <v xml:space="preserve">MĐHT=100%*KQTH/ Chỉ tiêu giao                     </v>
          </cell>
          <cell r="AB34" t="str">
            <v>Tỷ lệ khiếu nại/thông báo sự cố của các dịch vụ được xử lý đúng hạn</v>
          </cell>
          <cell r="AF34" t="str">
            <v>Tỷ lệ yêu cầu xử lý sự cố được đáp ứng đúng hạn (rút ngắn thời gian phục vụ)</v>
          </cell>
          <cell r="AG34" t="str">
            <v>Tỷ lệ yêu cầu xử lý sự cố được đáp ứng đúng hạn (rút ngắn thời gian phục vụ)</v>
          </cell>
          <cell r="AH34" t="str">
            <v>Tỷ lệ yêu cầu xử lý sự cố được đáp ứng đúng hạn (rút ngắn thời gian phục vụ)</v>
          </cell>
          <cell r="AI34" t="str">
            <v>Tỷ lệ yêu cầu xử lý sự cố dịch vụ IDC được đáp ứng đúng hạn (rút ngắn thời gian phục vụ)</v>
          </cell>
        </row>
        <row r="35">
          <cell r="E35" t="str">
            <v>C31</v>
          </cell>
          <cell r="F35" t="str">
            <v>Brand Equity Index:- Vinaphone- My TV- Internet (KHDN)</v>
          </cell>
          <cell r="J35" t="str">
            <v>Điểm</v>
          </cell>
          <cell r="K35" t="str">
            <v>Năm</v>
          </cell>
          <cell r="L35" t="str">
            <v>Giao 2016</v>
          </cell>
          <cell r="M35" t="str">
            <v>Ban NCTT&amp;PTDV</v>
          </cell>
          <cell r="N35" t="str">
            <v>Ban NCTT&amp;PTDV</v>
          </cell>
          <cell r="O35" t="str">
            <v>Khảo sát khách hàng</v>
          </cell>
          <cell r="P35" t="str">
            <v xml:space="preserve">MĐHT=100%*KQTH/ Chỉ tiêu giao                     </v>
          </cell>
          <cell r="AE35" t="str">
            <v>Brand Equity Index:- Vinaphone</v>
          </cell>
        </row>
        <row r="36">
          <cell r="E36" t="str">
            <v>C32</v>
          </cell>
          <cell r="F36" t="str">
            <v>- Tỷ lệ chuyển đổi từ nhận biết sang sử dụng(Internet, MyTV, hóa đơn điện tử...)</v>
          </cell>
          <cell r="J36" t="str">
            <v>%</v>
          </cell>
          <cell r="K36" t="str">
            <v>Năm</v>
          </cell>
          <cell r="L36" t="str">
            <v>Chưa giao</v>
          </cell>
          <cell r="M36" t="str">
            <v>Ban NCTT&amp;PTDV</v>
          </cell>
          <cell r="N36" t="str">
            <v>Ban NCTT&amp;PTDV</v>
          </cell>
          <cell r="O36" t="str">
            <v>Khảo sát khách hàng</v>
          </cell>
          <cell r="P36" t="str">
            <v xml:space="preserve">MĐHT=100%*KQTH/ Chỉ tiêu giao                     </v>
          </cell>
          <cell r="AE36" t="str">
            <v>- Mức độ nhận biết dịch vụ ngoài di động - Mức độ chuyển đổi từ nhận biết sang sử dụng(Internet, MyTV, hóa đơn điện tử...)</v>
          </cell>
        </row>
        <row r="37">
          <cell r="E37" t="str">
            <v>C41</v>
          </cell>
          <cell r="F37" t="str">
            <v>Tỷ lệ khách hàng đánh giá hài lòng về chất lượng phục vụ ( lắp đặt, hòa mạng, CSKH, sửa chữa khắc phục sự cố... qua kênh tổng đài, điểm giao dịch.. thông qua khảo sát thường xuyên)</v>
          </cell>
          <cell r="G37">
            <v>0.15</v>
          </cell>
          <cell r="I37">
            <v>90</v>
          </cell>
          <cell r="J37" t="str">
            <v>%</v>
          </cell>
          <cell r="K37" t="str">
            <v>Quý</v>
          </cell>
          <cell r="L37" t="str">
            <v>Chưa giao</v>
          </cell>
          <cell r="M37" t="str">
            <v>Ban NCTT&amp;PTDV</v>
          </cell>
          <cell r="N37" t="str">
            <v>Ban Chất lượngBan NCTT&amp;PTDV</v>
          </cell>
          <cell r="O37" t="str">
            <v>Khảo sát khách hàng Khảo sát thường xuyên qua IPCC.</v>
          </cell>
          <cell r="P37" t="str">
            <v xml:space="preserve">MĐHT=100%*KQTH/ Chỉ tiêu giao Trừ 2% MĐHT mỗi 1% lệch giữa báo cáo và kết quả thẩm định                    </v>
          </cell>
          <cell r="V37" t="str">
            <v>Tỷ lệ khách hàng đánh giá hài lòng về chất lượng phục vụ ( lắp đặt, hòa mạng, CSKH, sửa chữa khắc phục sự cố... qua kênh tổng đài, điểm giao dịch.. thông qua khảo sát thường xuyên)</v>
          </cell>
          <cell r="AF37" t="str">
            <v>- Độ hài lòng của khách hàng về dịch vụ (cá nhân/điểm bán)- Độ hài lòng của khách hàng về xử lý khiếu nại</v>
          </cell>
          <cell r="AH37" t="str">
            <v>Tỷ lệ khách hàng đánh giá hài lòng về chất lượng phục vụ ( lắp đặt, hòa mạng, CSKH, sửa chữa khắc phục sự cố... qua kênh tổng đài, điểm giao dịch.. thông qua khảo sát thường xuyên)</v>
          </cell>
          <cell r="AI37" t="str">
            <v>Tỷ lệ khách hàng đánh giá hài lòng về chất lượng phục vụ ( lắp đặt, hòa mạng, CSKH, sửa chữa khắc phục sự cố... qua kênh tổng đài, điểm giao dịch.. thông qua khảo sát thường xuyên)</v>
          </cell>
        </row>
        <row r="38">
          <cell r="E38" t="str">
            <v>C42</v>
          </cell>
          <cell r="F38" t="str">
            <v>Độ hài lòng của khách hàng về dịch vụ hoặc:Độ hài lòng của điểm bán lẻ/ Tỷ lệ điểm bán lẻ được chăm sóc</v>
          </cell>
          <cell r="J38" t="str">
            <v>%</v>
          </cell>
          <cell r="K38" t="str">
            <v>Quý</v>
          </cell>
          <cell r="L38" t="str">
            <v>Giao Q4: Tỷ lệ điểm bán lẻ được chăm sóc</v>
          </cell>
          <cell r="M38" t="str">
            <v>Tập đoàn giao/ Ban TGĐ</v>
          </cell>
          <cell r="N38" t="str">
            <v>Ban KHCN</v>
          </cell>
          <cell r="O38" t="str">
            <v>Khảo sát khách hàng</v>
          </cell>
          <cell r="P38" t="str">
            <v xml:space="preserve">MĐHT=100%*KQTH/ Chỉ tiêu giao                     </v>
          </cell>
          <cell r="AF38" t="str">
            <v>Tỷ lệ khách hàng đánh giá hài lòng về chất lượng giải quyết khiếu nại</v>
          </cell>
          <cell r="AG38" t="str">
            <v>Tỷ lệ khách hàng đánh giá hài lòng về chất lượng phục vụ (thông qua khảo sát thường xuyên)</v>
          </cell>
          <cell r="AH38" t="str">
            <v>Độ hài lòng của điểm bán lẻ</v>
          </cell>
          <cell r="AI38" t="str">
            <v>Tỷ lệ hài lòng của các Đơn vị nội bộ</v>
          </cell>
          <cell r="AK38" t="str">
            <v>Độ hài lòng của khách hàng về chất lượng phục vụ ( thông qua khảo sát thường xuyên)</v>
          </cell>
          <cell r="AL38" t="str">
            <v>Độ hài lòng của khách hàng về chất lượng phục vụ ( thông qua khảo sát thường xuyên)</v>
          </cell>
        </row>
        <row r="39">
          <cell r="E39" t="str">
            <v>C43</v>
          </cell>
          <cell r="F39" t="str">
            <v>Tỷ lệ khách hàng/thuê bao chấm dứt dịch vụ ( tính theo dịch vụ)</v>
          </cell>
          <cell r="J39" t="str">
            <v>%</v>
          </cell>
          <cell r="K39" t="str">
            <v>Quý</v>
          </cell>
          <cell r="L39" t="str">
            <v>Giao Q4</v>
          </cell>
          <cell r="M39" t="str">
            <v>Ban KHĐT</v>
          </cell>
          <cell r="N39" t="str">
            <v>Ban KHĐT</v>
          </cell>
          <cell r="O39" t="str">
            <v>Thống kê từ CCBS</v>
          </cell>
          <cell r="P39" t="str">
            <v>MĐHT=100%*KQTH/ Chỉ tiêu giao    Trừ 10% MĐHT mỗi 0,1% lệch giữa báo cáo so với kết quả thực hiện</v>
          </cell>
          <cell r="V39" t="str">
            <v>Tỷ lệ khách hàng/thuê bao chấm dứt dịch vụ ( tính theo dịch vụ)</v>
          </cell>
          <cell r="AF39" t="str">
            <v>Tỷ lệ thuê bao hủy bỏ/ Thuê bao phát sinh cước</v>
          </cell>
          <cell r="AG39" t="str">
            <v>Tỷ lệ thuê bao hủy bỏ/ Thuê bao phát sinh cước</v>
          </cell>
          <cell r="AH39" t="str">
            <v>Tỷ lệ thuê bao hủy bỏ/ Thuê bao phát sinh cước</v>
          </cell>
        </row>
        <row r="40">
          <cell r="E40" t="str">
            <v>C431</v>
          </cell>
          <cell r="F40" t="str">
            <v>Di động</v>
          </cell>
          <cell r="G40">
            <v>0.01</v>
          </cell>
          <cell r="H40">
            <v>2.29</v>
          </cell>
          <cell r="I40">
            <v>2.06</v>
          </cell>
          <cell r="J40" t="str">
            <v>%</v>
          </cell>
          <cell r="K40" t="str">
            <v>Quý</v>
          </cell>
          <cell r="L40" t="str">
            <v>Giao Q4</v>
          </cell>
          <cell r="M40" t="str">
            <v>Ban KHĐT</v>
          </cell>
          <cell r="N40" t="str">
            <v>Ban KHĐT</v>
          </cell>
          <cell r="V40" t="str">
            <v>Di động</v>
          </cell>
          <cell r="AF40" t="str">
            <v>Di động</v>
          </cell>
          <cell r="AG40" t="str">
            <v>Internet trực tiếp</v>
          </cell>
          <cell r="AH40" t="str">
            <v>Di động</v>
          </cell>
        </row>
        <row r="41">
          <cell r="E41" t="str">
            <v>C432</v>
          </cell>
          <cell r="F41" t="str">
            <v>Fiber</v>
          </cell>
          <cell r="G41">
            <v>0.01</v>
          </cell>
          <cell r="H41">
            <v>2.2599999999999998</v>
          </cell>
          <cell r="I41">
            <v>2.04</v>
          </cell>
          <cell r="J41" t="str">
            <v>%</v>
          </cell>
          <cell r="K41" t="str">
            <v>Quý</v>
          </cell>
          <cell r="L41" t="str">
            <v>Giao Q4</v>
          </cell>
          <cell r="M41" t="str">
            <v>Ban KHĐT</v>
          </cell>
          <cell r="N41" t="str">
            <v>Ban KHĐT</v>
          </cell>
          <cell r="V41" t="str">
            <v>Fiber</v>
          </cell>
          <cell r="AF41" t="str">
            <v>Fiber</v>
          </cell>
          <cell r="AG41" t="str">
            <v>VPN/VNN</v>
          </cell>
          <cell r="AH41" t="str">
            <v>Fiber</v>
          </cell>
        </row>
        <row r="42">
          <cell r="E42" t="str">
            <v>C433</v>
          </cell>
          <cell r="F42" t="str">
            <v>MyTV</v>
          </cell>
          <cell r="G42">
            <v>0.01</v>
          </cell>
          <cell r="H42">
            <v>2.2599999999999998</v>
          </cell>
          <cell r="I42">
            <v>2.04</v>
          </cell>
          <cell r="J42" t="str">
            <v>%</v>
          </cell>
          <cell r="K42" t="str">
            <v>Quý</v>
          </cell>
          <cell r="L42" t="str">
            <v>Giao Q4</v>
          </cell>
          <cell r="M42" t="str">
            <v>Ban KHĐT</v>
          </cell>
          <cell r="N42" t="str">
            <v>Ban KHĐT</v>
          </cell>
          <cell r="V42" t="str">
            <v>MyTV</v>
          </cell>
          <cell r="AF42" t="str">
            <v>MyTV</v>
          </cell>
          <cell r="AH42" t="str">
            <v>MyTV</v>
          </cell>
        </row>
        <row r="43">
          <cell r="G43">
            <v>0.18000000000000002</v>
          </cell>
        </row>
        <row r="44">
          <cell r="E44" t="str">
            <v>I11</v>
          </cell>
          <cell r="F44" t="str">
            <v>Độ phủ của điểm giao dịch đạt chuẩn ( cấp quận huyện)</v>
          </cell>
          <cell r="J44" t="str">
            <v>Điểm</v>
          </cell>
          <cell r="K44" t="str">
            <v>Quý</v>
          </cell>
          <cell r="L44" t="str">
            <v>Chưa giao</v>
          </cell>
          <cell r="M44" t="str">
            <v>Ban KHĐT</v>
          </cell>
          <cell r="N44" t="str">
            <v>Ban Chất lượngBan KHĐT</v>
          </cell>
          <cell r="O44" t="str">
            <v>Số điểm bán hàng có đến ngày kết thúc cuối quý-Số điểm bán hàng có đến ngày kết thúc tháng cuối của quý trước liền kề</v>
          </cell>
          <cell r="P44" t="str">
            <v xml:space="preserve">MĐHT=100%*KQTH/ Chỉ tiêu giao                     </v>
          </cell>
          <cell r="W44" t="str">
            <v>Độ phủ của điểm giao dịch đạt chuẩn</v>
          </cell>
          <cell r="AF44" t="str">
            <v>Quy mô điểm bán lẻ</v>
          </cell>
          <cell r="AH44" t="str">
            <v>Quy mô điểm bán hàng</v>
          </cell>
        </row>
        <row r="45">
          <cell r="E45" t="str">
            <v>I12</v>
          </cell>
          <cell r="F45" t="str">
            <v>Tỷ lệ hợp đồng/yêu cầu dịch đăng ký dịch vụ online có phát sinh doanh thu</v>
          </cell>
          <cell r="J45" t="str">
            <v>%</v>
          </cell>
          <cell r="K45" t="str">
            <v>Quý</v>
          </cell>
          <cell r="L45" t="str">
            <v>Chưa giao</v>
          </cell>
          <cell r="M45" t="str">
            <v>Ban KHĐT</v>
          </cell>
          <cell r="N45" t="str">
            <v>Ban KHĐT</v>
          </cell>
          <cell r="O45" t="str">
            <v>KQTH=Số hợp đồng/yêu cầu đăng ký dịch vụ online phát sinh doanh thu/Tổng số hợp đồng, yêu cầu đăng ký dịch vụ online trong kỳ</v>
          </cell>
          <cell r="P45" t="str">
            <v xml:space="preserve">MĐHT=100%*KQTH/ Chỉ tiêu giao                     </v>
          </cell>
          <cell r="AG45" t="str">
            <v>Tỷ lệ đăng ký dịch vụ online có doanh thu</v>
          </cell>
          <cell r="AI45" t="str">
            <v>Tỷ lệ doanh thu bán hàng phát sinh từ kênh bán hàng online</v>
          </cell>
        </row>
        <row r="46">
          <cell r="E46" t="str">
            <v>I13</v>
          </cell>
          <cell r="F46" t="str">
            <v>Tỷ lệ xã/phường có điểm giao dịch của VNPT-Vinaphone</v>
          </cell>
          <cell r="J46" t="str">
            <v>%</v>
          </cell>
          <cell r="K46" t="str">
            <v>Quý</v>
          </cell>
          <cell r="L46" t="str">
            <v>Giao Q4 cho TTKD</v>
          </cell>
          <cell r="M46" t="str">
            <v>Ban KHĐT</v>
          </cell>
          <cell r="N46" t="str">
            <v>Ban KHĐT</v>
          </cell>
          <cell r="O46" t="str">
            <v>Thống kê từ hệ thống SMSS</v>
          </cell>
          <cell r="P46" t="str">
            <v xml:space="preserve">MĐHT=100%*KQTH/ Chỉ tiêu giao                     </v>
          </cell>
          <cell r="W46" t="str">
            <v>Tỷ lệ xã/phường có điểm giao dịch của Vinaphone</v>
          </cell>
          <cell r="AG46" t="str">
            <v>Tỷ lệ điểm bán lẻ phát sinh doanh thu</v>
          </cell>
        </row>
        <row r="47">
          <cell r="E47" t="str">
            <v>I14</v>
          </cell>
          <cell r="F47" t="str">
            <v>- Số lượng điểm bán lẻ bình quân/1000 dân- Số giao 2015: Số điểm bán lẻ mới phát sinh doanh thu</v>
          </cell>
          <cell r="J47" t="str">
            <v>%</v>
          </cell>
          <cell r="K47" t="str">
            <v>Quý</v>
          </cell>
          <cell r="L47" t="str">
            <v>Giao Q4: Số điểm bán lẻ mới phát sinh doanh thu</v>
          </cell>
          <cell r="M47" t="str">
            <v>Ban KHĐT</v>
          </cell>
          <cell r="N47" t="str">
            <v>Ban KHĐT</v>
          </cell>
          <cell r="P47" t="str">
            <v xml:space="preserve">MĐHT=100%*KQTH/ Chỉ tiêu giao                     </v>
          </cell>
          <cell r="V47" t="str">
            <v>Số điểm bán lẻ mới phát sinh doanh thu</v>
          </cell>
          <cell r="W47" t="str">
            <v>Tỷ lệ xã/phường có điểm bán lẻ của Vinaphone</v>
          </cell>
          <cell r="AF47" t="str">
            <v>Số điểm bán hàng có phát sinh doanh thu trong Quý</v>
          </cell>
          <cell r="AH47" t="str">
            <v>Số điểm bán hàng có phát sinh doanh thu trong Quý</v>
          </cell>
        </row>
        <row r="48">
          <cell r="E48" t="str">
            <v>I141</v>
          </cell>
          <cell r="F48" t="str">
            <v>Tỷ lệ điểm bán lẻ phát sinh doanh thu</v>
          </cell>
          <cell r="J48" t="str">
            <v>%</v>
          </cell>
          <cell r="K48" t="str">
            <v>Quý</v>
          </cell>
          <cell r="L48" t="str">
            <v>Giao Q4: Số điểm bán lẻ mới phát sinh doanh thu</v>
          </cell>
          <cell r="M48" t="str">
            <v>Ban KHĐT</v>
          </cell>
          <cell r="N48" t="str">
            <v>Ban KHĐT</v>
          </cell>
          <cell r="O48" t="str">
            <v>Số điểm bán hàng phát sinh doanh thu từ bán thẻ/ Tổng số điểm bán hàng</v>
          </cell>
          <cell r="P48" t="str">
            <v xml:space="preserve">MĐHT=100%*KQTH/ Chỉ tiêu giao                     </v>
          </cell>
          <cell r="V48" t="str">
            <v>Tỷ lệ điểm bán lẻ phát sinh doanh thu</v>
          </cell>
          <cell r="AF48" t="str">
            <v>Tỷ lệ điểm bán lẻ phát sinh doanh thu</v>
          </cell>
          <cell r="AH48" t="str">
            <v>Tỷ lệ điểm bán lẻ phát sinh doanh thu</v>
          </cell>
        </row>
        <row r="49">
          <cell r="E49" t="str">
            <v>I142</v>
          </cell>
          <cell r="F49" t="str">
            <v>Tỷ lệ điểm bán lẻ phát sinh doanh thu từ bán sim</v>
          </cell>
          <cell r="J49" t="str">
            <v>%</v>
          </cell>
          <cell r="K49" t="str">
            <v>Quý</v>
          </cell>
          <cell r="L49" t="str">
            <v>Giao Q4: Số điểm bán lẻ mới phát sinh doanh thu</v>
          </cell>
          <cell r="M49" t="str">
            <v>Ban KHĐT</v>
          </cell>
          <cell r="N49" t="str">
            <v>Ban KHĐT</v>
          </cell>
          <cell r="O49" t="str">
            <v>Số điểm bán hàng phát sinh doanh thu từ bán sim/ Tổng số điểm bán sim</v>
          </cell>
          <cell r="P49" t="str">
            <v xml:space="preserve">MĐHT=100%*KQTH/ Chỉ tiêu giao                     </v>
          </cell>
          <cell r="V49" t="str">
            <v>Tỷ lệ điểm bán lẻ phát sinh doanh thu từ bán sim</v>
          </cell>
          <cell r="AF49" t="str">
            <v>Tỷ lệ điểm bán lẻ phát sinh doanh thu từ bán sim</v>
          </cell>
          <cell r="AH49" t="str">
            <v>Tỷ lệ điểm bán lẻ phát sinh doanh thu từ bán sim</v>
          </cell>
        </row>
        <row r="50">
          <cell r="E50" t="str">
            <v>I15</v>
          </cell>
          <cell r="F50" t="str">
            <v>- Số yêu cầu dịch vụ từ bán hàng online</v>
          </cell>
          <cell r="J50" t="str">
            <v>Yêu cầu</v>
          </cell>
          <cell r="K50" t="str">
            <v>Quý</v>
          </cell>
          <cell r="L50" t="str">
            <v>Chưa giao</v>
          </cell>
          <cell r="M50" t="str">
            <v>Ban KHĐT</v>
          </cell>
          <cell r="N50" t="str">
            <v>Ban KHĐT</v>
          </cell>
          <cell r="O50" t="str">
            <v>Thống kê</v>
          </cell>
          <cell r="P50" t="str">
            <v xml:space="preserve">MĐHT=100%*KQTH/ Chỉ tiêu giao                     </v>
          </cell>
          <cell r="AG50" t="str">
            <v>Số yêu cầu dịch vụ từ bán hàng online</v>
          </cell>
        </row>
        <row r="51">
          <cell r="E51" t="str">
            <v>I21</v>
          </cell>
          <cell r="F51" t="str">
            <v>Năng suất lao động bình quân</v>
          </cell>
          <cell r="J51" t="str">
            <v>Triệu đồng</v>
          </cell>
          <cell r="K51" t="str">
            <v>Quý</v>
          </cell>
          <cell r="L51" t="str">
            <v>Chưa giao</v>
          </cell>
          <cell r="M51" t="str">
            <v>Ban KHĐT</v>
          </cell>
          <cell r="N51" t="str">
            <v>Ban KHĐT</v>
          </cell>
          <cell r="O51" t="str">
            <v>Tổng doanh thu--------------------Tổng số CBCNV</v>
          </cell>
          <cell r="P51" t="str">
            <v xml:space="preserve">MĐHT=100%*KQTH/ Chỉ tiêu giao                     </v>
          </cell>
          <cell r="V51" t="str">
            <v>Năng suất lao động bình quân</v>
          </cell>
          <cell r="AG51" t="str">
            <v>Năng suất lao động bình quân</v>
          </cell>
        </row>
        <row r="52">
          <cell r="E52" t="str">
            <v>I22</v>
          </cell>
          <cell r="F52" t="str">
            <v>Tỷ lệ tăng trưởng số lượng khách hàng mới</v>
          </cell>
          <cell r="J52" t="str">
            <v>%</v>
          </cell>
          <cell r="K52" t="str">
            <v>Quý</v>
          </cell>
          <cell r="L52" t="str">
            <v>Chưa giao</v>
          </cell>
          <cell r="M52" t="str">
            <v>Ban KHĐT</v>
          </cell>
          <cell r="N52" t="str">
            <v>Ban KHĐT</v>
          </cell>
          <cell r="O52" t="str">
            <v>(Số khách hàng cuối kỳ-Số khách hàng đầu kỳ)---------------------------------------Số khách hàng đầu kỳ</v>
          </cell>
          <cell r="P52" t="str">
            <v xml:space="preserve">MĐHT=100%*KQTH/ Chỉ tiêu giao                     </v>
          </cell>
          <cell r="AG52" t="str">
            <v>Tỷ lệ tăng trưởng khách hàng mới</v>
          </cell>
          <cell r="AH52" t="str">
            <v>Tỷ lệ tăng trưởng khách hàng mới</v>
          </cell>
        </row>
        <row r="53">
          <cell r="E53" t="str">
            <v>I23</v>
          </cell>
          <cell r="F53" t="str">
            <v>Doanh thu bình quân trên một khách hàng</v>
          </cell>
          <cell r="J53" t="str">
            <v>Triệu đồng</v>
          </cell>
          <cell r="K53" t="str">
            <v>Quý</v>
          </cell>
          <cell r="L53" t="str">
            <v>Chưa giao</v>
          </cell>
          <cell r="M53" t="str">
            <v>Ban KHĐT</v>
          </cell>
          <cell r="N53" t="str">
            <v>Ban KHĐT</v>
          </cell>
          <cell r="O53" t="str">
            <v>Thống kê</v>
          </cell>
          <cell r="P53" t="str">
            <v xml:space="preserve">MĐHT=100%*KQTH/ Chỉ tiêu giao                     </v>
          </cell>
        </row>
        <row r="54">
          <cell r="E54" t="str">
            <v>I31</v>
          </cell>
          <cell r="F54" t="str">
            <v>Tỷ lệ lắp đặt và cung cấp dịch vụ thực hiện đúng theo quy định:</v>
          </cell>
          <cell r="J54" t="str">
            <v>%</v>
          </cell>
          <cell r="K54" t="str">
            <v>Quý</v>
          </cell>
          <cell r="L54" t="str">
            <v>Giao Q4</v>
          </cell>
          <cell r="M54" t="str">
            <v>Ban KTNV</v>
          </cell>
          <cell r="N54" t="str">
            <v>Ban Chất lượngBan KTNV</v>
          </cell>
          <cell r="O54" t="str">
            <v>Thống kê (tính từ khi có yêu cầu cung cấp dịch vụ cho đến khi dịch vụ được đáp ứng)</v>
          </cell>
          <cell r="P54" t="str">
            <v>MĐHT=100%*KQTH/ Chỉ tiêu giao     Trừ 2% MĐHT cho mỗi 1% lệch giữa báo cáo và thẩm định</v>
          </cell>
          <cell r="V54" t="str">
            <v>Tỷ lệ lắp đặt và cung cấp dịch vụ thực hiện đúng theo quy định:</v>
          </cell>
          <cell r="AG54" t="str">
            <v>Tỷ lệ lắp đặt và cung cấp dịch vụ thực hiện đúng theo quy định:</v>
          </cell>
          <cell r="AH54" t="str">
            <v>Tỷ lệ lắp đặt và cung cấp dịch vụ thực hiện đúng theo quy định:</v>
          </cell>
          <cell r="AI54" t="str">
            <v>Tỷ lệ lắp đặt và cung cấp dịch vụ thực hiện đúng theo quy định:</v>
          </cell>
          <cell r="AJ54" t="str">
            <v>Tỷ lệ yêu cầu cung cấp dịch vụ/ giải pháp đúng tiến độ đăng ký/ cam kết.</v>
          </cell>
        </row>
        <row r="55">
          <cell r="E55" t="str">
            <v>I311</v>
          </cell>
          <cell r="F55" t="str">
            <v>Internet trực tiếp</v>
          </cell>
          <cell r="G55">
            <v>0.01</v>
          </cell>
          <cell r="I55">
            <v>95</v>
          </cell>
          <cell r="J55" t="str">
            <v>%</v>
          </cell>
          <cell r="K55" t="str">
            <v>Quý</v>
          </cell>
          <cell r="V55" t="str">
            <v>Internet trực tiếp</v>
          </cell>
          <cell r="AG55" t="str">
            <v>Internet trực tiếp</v>
          </cell>
          <cell r="AH55" t="str">
            <v>Internet trực tiếp</v>
          </cell>
        </row>
        <row r="56">
          <cell r="E56" t="str">
            <v>I312</v>
          </cell>
          <cell r="F56" t="str">
            <v>VPN</v>
          </cell>
          <cell r="G56">
            <v>0.01</v>
          </cell>
          <cell r="I56">
            <v>95</v>
          </cell>
          <cell r="J56" t="str">
            <v>%</v>
          </cell>
          <cell r="K56" t="str">
            <v>Quý</v>
          </cell>
          <cell r="V56" t="str">
            <v>VPN</v>
          </cell>
          <cell r="AG56" t="str">
            <v>VPN</v>
          </cell>
          <cell r="AH56" t="str">
            <v>VPN</v>
          </cell>
        </row>
        <row r="57">
          <cell r="E57" t="str">
            <v>I313</v>
          </cell>
          <cell r="F57" t="str">
            <v>Kênh thuê riêng</v>
          </cell>
          <cell r="G57">
            <v>0.01</v>
          </cell>
          <cell r="I57">
            <v>95</v>
          </cell>
          <cell r="J57" t="str">
            <v>%</v>
          </cell>
          <cell r="K57" t="str">
            <v>Quý</v>
          </cell>
          <cell r="V57" t="str">
            <v>Kênh thuê riêng</v>
          </cell>
          <cell r="AG57" t="str">
            <v>Kênh thuê riêng</v>
          </cell>
          <cell r="AH57" t="str">
            <v>Kênh thuê riêng</v>
          </cell>
        </row>
        <row r="58">
          <cell r="E58" t="str">
            <v>I314</v>
          </cell>
          <cell r="F58" t="str">
            <v>FTTx</v>
          </cell>
          <cell r="G58">
            <v>0.01</v>
          </cell>
          <cell r="I58">
            <v>95</v>
          </cell>
          <cell r="J58" t="str">
            <v>%</v>
          </cell>
          <cell r="K58" t="str">
            <v>Quý</v>
          </cell>
          <cell r="V58" t="str">
            <v>FTTx</v>
          </cell>
          <cell r="AF58" t="str">
            <v>FTTx</v>
          </cell>
          <cell r="AH58" t="str">
            <v>FTTx</v>
          </cell>
        </row>
        <row r="59">
          <cell r="E59" t="str">
            <v>I315</v>
          </cell>
          <cell r="F59" t="str">
            <v>ADSL</v>
          </cell>
          <cell r="G59">
            <v>0.01</v>
          </cell>
          <cell r="I59">
            <v>95</v>
          </cell>
          <cell r="J59" t="str">
            <v>%</v>
          </cell>
          <cell r="K59" t="str">
            <v>Quý</v>
          </cell>
          <cell r="V59" t="str">
            <v>ADSL</v>
          </cell>
          <cell r="AF59" t="str">
            <v>ADSL</v>
          </cell>
          <cell r="AH59" t="str">
            <v>ADSL</v>
          </cell>
        </row>
        <row r="60">
          <cell r="E60" t="str">
            <v>I316</v>
          </cell>
          <cell r="F60" t="str">
            <v>MyTV</v>
          </cell>
          <cell r="G60">
            <v>0.01</v>
          </cell>
          <cell r="I60">
            <v>95</v>
          </cell>
          <cell r="J60" t="str">
            <v>%</v>
          </cell>
          <cell r="K60" t="str">
            <v>Quý</v>
          </cell>
          <cell r="V60" t="str">
            <v>MyTV</v>
          </cell>
          <cell r="AF60" t="str">
            <v>MyTV</v>
          </cell>
          <cell r="AH60" t="str">
            <v>MyTV</v>
          </cell>
        </row>
        <row r="61">
          <cell r="E61" t="str">
            <v>I32</v>
          </cell>
          <cell r="F61" t="str">
            <v>Thời gian bình quân xử lý sự cố /khiếu nại hoặcTỷ lệ xử lý khiếu nại/ sự cố đúng theo quy định</v>
          </cell>
          <cell r="J61" t="str">
            <v>%</v>
          </cell>
          <cell r="K61" t="str">
            <v>Quý</v>
          </cell>
          <cell r="L61" t="str">
            <v>Giao Q4</v>
          </cell>
          <cell r="M61" t="str">
            <v>Ban KTNV</v>
          </cell>
          <cell r="N61" t="str">
            <v>Ban Chất lượngBan KTNV</v>
          </cell>
          <cell r="O61" t="str">
            <v>Thống kê (tính từ khi có yêu cầu xử lý sự cố cho đến khi sự cố được giải quyết)</v>
          </cell>
          <cell r="P61" t="str">
            <v>MĐHT=100%*KQTH/ Chỉ tiêu giaoTrừ 2% MĐHT cho mỗi 1% lệch giữa báo cáo và thẩm định</v>
          </cell>
          <cell r="V61" t="str">
            <v>Tỷ lệ xử lý khiếu nại/ sự cố đúng theo quy định</v>
          </cell>
          <cell r="AF61" t="str">
            <v>Tỷ lệ xử lý sự cố/ khiếu nại đúng quy định</v>
          </cell>
          <cell r="AG61" t="str">
            <v>Tỷ lệ xử lý sự cố/ khiếu nại đúng quy định</v>
          </cell>
          <cell r="AH61" t="str">
            <v>Tỷ lệ xử lý sự cố/ khiếu nại đúng quy định</v>
          </cell>
          <cell r="AI61" t="str">
            <v>Tỷ lệ xử lý sự cố theo đúng quy định</v>
          </cell>
          <cell r="AJ61" t="str">
            <v>Độ ổn định hệ thống đang triển khai cho Tập đoàn/ Tổng Công ty ( Hệ thống TMS, AMS, HDDT)</v>
          </cell>
          <cell r="AK61" t="str">
            <v>Tỷ lệ xử lý khiếu nại/ sự cố đúng theo quy định</v>
          </cell>
          <cell r="AL61" t="str">
            <v>Tỷ lệ xử lý khiếu nại/ sự cố đúng theo quy định</v>
          </cell>
        </row>
        <row r="62">
          <cell r="E62" t="str">
            <v>I321</v>
          </cell>
          <cell r="F62" t="str">
            <v>Internet trực tiếp</v>
          </cell>
          <cell r="G62">
            <v>0.01</v>
          </cell>
          <cell r="I62">
            <v>90</v>
          </cell>
          <cell r="J62" t="str">
            <v>%</v>
          </cell>
          <cell r="K62" t="str">
            <v>Quý</v>
          </cell>
          <cell r="V62" t="str">
            <v>Internet trực tiếp</v>
          </cell>
          <cell r="AG62" t="str">
            <v>Internet trực tiếp</v>
          </cell>
          <cell r="AH62" t="str">
            <v>Internet trực tiếp</v>
          </cell>
        </row>
        <row r="63">
          <cell r="E63" t="str">
            <v>I322</v>
          </cell>
          <cell r="F63" t="str">
            <v>VPN</v>
          </cell>
          <cell r="G63">
            <v>0.01</v>
          </cell>
          <cell r="I63">
            <v>90</v>
          </cell>
          <cell r="J63" t="str">
            <v>%</v>
          </cell>
          <cell r="K63" t="str">
            <v>Quý</v>
          </cell>
          <cell r="V63" t="str">
            <v>VPN</v>
          </cell>
          <cell r="AG63" t="str">
            <v>VPN</v>
          </cell>
          <cell r="AH63" t="str">
            <v>VPN</v>
          </cell>
        </row>
        <row r="64">
          <cell r="E64" t="str">
            <v>I323</v>
          </cell>
          <cell r="F64" t="str">
            <v>Kênh thuê riêng</v>
          </cell>
          <cell r="G64">
            <v>0.01</v>
          </cell>
          <cell r="I64">
            <v>90</v>
          </cell>
          <cell r="J64" t="str">
            <v>%</v>
          </cell>
          <cell r="K64" t="str">
            <v>Quý</v>
          </cell>
          <cell r="V64" t="str">
            <v>Kênh thuê riêng</v>
          </cell>
          <cell r="AG64" t="str">
            <v>Kênh thuê riêng</v>
          </cell>
          <cell r="AH64" t="str">
            <v>Kênh thuê riêng</v>
          </cell>
        </row>
        <row r="65">
          <cell r="E65" t="str">
            <v>I324</v>
          </cell>
          <cell r="F65" t="str">
            <v>FTTx</v>
          </cell>
          <cell r="G65">
            <v>0.01</v>
          </cell>
          <cell r="I65">
            <v>90</v>
          </cell>
          <cell r="J65" t="str">
            <v>%</v>
          </cell>
          <cell r="K65" t="str">
            <v>Quý</v>
          </cell>
          <cell r="V65" t="str">
            <v>FTTx</v>
          </cell>
          <cell r="AF65" t="str">
            <v>FTTx</v>
          </cell>
          <cell r="AH65" t="str">
            <v>FTTx</v>
          </cell>
        </row>
        <row r="66">
          <cell r="E66" t="str">
            <v>I325</v>
          </cell>
          <cell r="F66" t="str">
            <v>ADSL</v>
          </cell>
          <cell r="G66">
            <v>0.01</v>
          </cell>
          <cell r="I66">
            <v>90</v>
          </cell>
          <cell r="J66" t="str">
            <v>%</v>
          </cell>
          <cell r="K66" t="str">
            <v>Quý</v>
          </cell>
          <cell r="V66" t="str">
            <v>ADSL</v>
          </cell>
          <cell r="AF66" t="str">
            <v>ADSL</v>
          </cell>
          <cell r="AH66" t="str">
            <v>ADSL</v>
          </cell>
        </row>
        <row r="67">
          <cell r="E67" t="str">
            <v>I326</v>
          </cell>
          <cell r="F67" t="str">
            <v>MyTV</v>
          </cell>
          <cell r="G67">
            <v>0.01</v>
          </cell>
          <cell r="I67">
            <v>90</v>
          </cell>
          <cell r="J67" t="str">
            <v>%</v>
          </cell>
          <cell r="K67" t="str">
            <v>Quý</v>
          </cell>
          <cell r="V67" t="str">
            <v>MyTV</v>
          </cell>
          <cell r="AF67" t="str">
            <v>MyTV</v>
          </cell>
          <cell r="AH67" t="str">
            <v>MyTV</v>
          </cell>
        </row>
        <row r="68">
          <cell r="E68" t="str">
            <v>I327</v>
          </cell>
          <cell r="F68" t="str">
            <v>Di động</v>
          </cell>
          <cell r="G68">
            <v>0.01</v>
          </cell>
          <cell r="I68">
            <v>90</v>
          </cell>
          <cell r="J68" t="str">
            <v>%</v>
          </cell>
          <cell r="K68" t="str">
            <v>Quý</v>
          </cell>
          <cell r="V68" t="str">
            <v>Di động</v>
          </cell>
          <cell r="AF68" t="str">
            <v>Di động</v>
          </cell>
          <cell r="AH68" t="str">
            <v>Di động</v>
          </cell>
        </row>
        <row r="69">
          <cell r="E69" t="str">
            <v>I33</v>
          </cell>
          <cell r="F69" t="str">
            <v>Tỷ lệ đáp ứng cuộc gọi qua Tổng đài vùng (8001166)</v>
          </cell>
          <cell r="I69">
            <v>80</v>
          </cell>
          <cell r="J69" t="str">
            <v>%</v>
          </cell>
          <cell r="K69" t="str">
            <v>Quý</v>
          </cell>
          <cell r="M69" t="str">
            <v>Ban KTNV</v>
          </cell>
          <cell r="N69" t="str">
            <v>Ban KTNV</v>
          </cell>
          <cell r="O69" t="str">
            <v>Thống kê</v>
          </cell>
          <cell r="P69" t="str">
            <v>MĐHT=100%*KQTH/Chỉ tiêu giaoTrừ 2% MĐHT cho mỗi sai lệch 2% giữa kết quả thẩm định so với báo cáo</v>
          </cell>
          <cell r="AH69" t="str">
            <v>Tỷ lệ đáp ứng cuộc gọi qua Tổng đài vùng (8001166)</v>
          </cell>
        </row>
        <row r="70">
          <cell r="E70" t="str">
            <v>I41</v>
          </cell>
          <cell r="F70" t="str">
            <v>Tăng tỷ lệ thuê bao/khách hàng được chăm sóc định kỳ ( giao cho nhóm DV chính) hoặc:Tỷ lệ khách hàng được chăm sóc đúng quy định</v>
          </cell>
          <cell r="J70" t="str">
            <v>%</v>
          </cell>
          <cell r="K70" t="str">
            <v>Quý</v>
          </cell>
          <cell r="L70" t="str">
            <v>Chưa giao</v>
          </cell>
          <cell r="M70" t="str">
            <v>Ban NCTT&amp;PTDV</v>
          </cell>
          <cell r="N70" t="str">
            <v>Ban Chất lượng</v>
          </cell>
          <cell r="O70" t="str">
            <v>Tỷ lệ khách hàng được chăm sóc đúng quy định/ Tổng số khách hàng được chăm sóc</v>
          </cell>
          <cell r="P70" t="str">
            <v xml:space="preserve">MĐHT=100%*KQTH/ Chỉ tiêu giao                     </v>
          </cell>
          <cell r="AF70" t="str">
            <v>Tăng tỷ lệ thuê bao/khách hàng được chăm sóc định kỳ</v>
          </cell>
          <cell r="AG70" t="str">
            <v>Tỷ lệ khách hàng được chăm sóc theo đúng quy định</v>
          </cell>
          <cell r="AH70" t="str">
            <v>Tỷ lệ khách hàng được chăm sóc theo đúng quy định</v>
          </cell>
        </row>
        <row r="71">
          <cell r="E71" t="str">
            <v>I42</v>
          </cell>
          <cell r="F71" t="str">
            <v>Tỷ lệ khách hàng sử dụng đa dịch vụ được chăm sóc tập trung</v>
          </cell>
          <cell r="J71" t="str">
            <v>%</v>
          </cell>
          <cell r="K71" t="str">
            <v>Quý</v>
          </cell>
          <cell r="L71" t="str">
            <v>Chưa giao</v>
          </cell>
          <cell r="M71" t="str">
            <v>Ban NCTT&amp;PTDV</v>
          </cell>
          <cell r="N71" t="str">
            <v>Ban Chất lượng</v>
          </cell>
          <cell r="O71" t="str">
            <v>Tỷ lệ KH sử dụng đa dịch vụ được chăm sóc tập trung/ Tổng số KH sử dụng đa dịch vụ theo thống kê</v>
          </cell>
          <cell r="P71" t="str">
            <v xml:space="preserve">MĐHT=100%*KQTH/ Chỉ tiêu giao                     </v>
          </cell>
          <cell r="AF71" t="str">
            <v>Tỷ lệ khách hàng sử dụng đa dịch vụ được chăm sóc tập trung</v>
          </cell>
          <cell r="AG71" t="str">
            <v>Tỷ lệ khách hàng sử dụng đa dịch vụ được chăm sóc tập trung</v>
          </cell>
        </row>
        <row r="72">
          <cell r="E72" t="str">
            <v>I51</v>
          </cell>
          <cell r="F72" t="str">
            <v>Tỷ lệ sản phẩm dịch vụ chính có BRAND riêng và được nhận biết tốt (VD 80%) trên thị trường</v>
          </cell>
          <cell r="J72" t="str">
            <v>%</v>
          </cell>
          <cell r="K72" t="str">
            <v>Quý</v>
          </cell>
          <cell r="L72" t="str">
            <v>Chưa giao</v>
          </cell>
          <cell r="M72" t="str">
            <v>Ban KHĐT</v>
          </cell>
          <cell r="N72" t="str">
            <v>Ban KHĐT</v>
          </cell>
          <cell r="O72" t="str">
            <v>Thống kê và khảo sát</v>
          </cell>
          <cell r="P72" t="str">
            <v xml:space="preserve">MĐHT=100%*KQTH/ Chỉ tiêu giao                     </v>
          </cell>
          <cell r="AE72" t="str">
            <v>Tỷ lệ sản phẩm dịch vụ chính có BRAND riêng và được nhận biết tốt (VD 80%) trên thị trường</v>
          </cell>
        </row>
        <row r="73">
          <cell r="E73" t="str">
            <v>I52</v>
          </cell>
          <cell r="F73" t="str">
            <v>Tỷ lệ nhận biết brand/ thương hiệu sản phẩm dịch vụ mới (trong 2 năm đầu)</v>
          </cell>
          <cell r="J73" t="str">
            <v>%</v>
          </cell>
          <cell r="K73" t="str">
            <v>Năm</v>
          </cell>
          <cell r="L73" t="str">
            <v>Chưa giao</v>
          </cell>
          <cell r="M73" t="str">
            <v>Ban KHĐT</v>
          </cell>
          <cell r="N73" t="str">
            <v>Ban KHĐT</v>
          </cell>
          <cell r="O73" t="str">
            <v>Khảo sát khách hàng</v>
          </cell>
          <cell r="P73" t="str">
            <v xml:space="preserve">MĐHT=100%*KQTH/ Chỉ tiêu giao                     </v>
          </cell>
          <cell r="AE73" t="str">
            <v>Tỷ lệ nhận biết brand/ thương hiệu sản phẩm dịch vụ mới (trong 2 năm đầu)</v>
          </cell>
        </row>
        <row r="74">
          <cell r="E74" t="str">
            <v>I61</v>
          </cell>
          <cell r="F74" t="str">
            <v>Tỷ lệ nhận biết brand/ (thương hiệu sản phẩm dịch vụ chính) ngoài Vinaphone.</v>
          </cell>
          <cell r="J74" t="str">
            <v>%</v>
          </cell>
          <cell r="K74" t="str">
            <v>Năm</v>
          </cell>
          <cell r="L74" t="str">
            <v>Chưa giao</v>
          </cell>
          <cell r="M74" t="str">
            <v>Ban NCTT&amp;PTDV</v>
          </cell>
          <cell r="N74" t="str">
            <v>Ban NCTT&amp;PTDV</v>
          </cell>
          <cell r="O74" t="str">
            <v>Khảo sát khách hàng</v>
          </cell>
          <cell r="P74" t="str">
            <v xml:space="preserve">MĐHT=100%*KQTH/ Chỉ tiêu giao                     </v>
          </cell>
          <cell r="AE74" t="str">
            <v>Tỷ lệ nhận biết brand/ (thương hiệu sản phẩm dịch vụ chính) ngoài Vinaphone.</v>
          </cell>
        </row>
        <row r="75">
          <cell r="E75" t="str">
            <v>I62</v>
          </cell>
          <cell r="F75" t="str">
            <v>Tỷ lệ các điểm bán lẻ có treo bảng biển của Vinaphone đúng chuẩn</v>
          </cell>
          <cell r="G75">
            <v>0.04</v>
          </cell>
          <cell r="I75">
            <v>85</v>
          </cell>
          <cell r="J75" t="str">
            <v>%</v>
          </cell>
          <cell r="K75" t="str">
            <v>Quý</v>
          </cell>
          <cell r="L75" t="str">
            <v>Giao cho Ban KHCN, TTKD…</v>
          </cell>
          <cell r="M75" t="str">
            <v>Ban Chất lượng</v>
          </cell>
          <cell r="N75" t="str">
            <v>Ban Chất lượng</v>
          </cell>
          <cell r="O75" t="str">
            <v>KQTH=I62=100%*∑(I621+I622)/30*Tổng số điểm có treo biển hiệu</v>
          </cell>
          <cell r="P75" t="str">
            <v xml:space="preserve">MĐHT=100%*KQTH/ Chỉ tiêu giao                     </v>
          </cell>
          <cell r="V75" t="str">
            <v>Tỷ lệ các điểm bán lẻ có treo bảng biển của Vinaphone đúng chuẩn</v>
          </cell>
          <cell r="AH75" t="str">
            <v>Tỷ lệ các điểm bán lẻ có treo bảng biển của Vinaphone đúng chuẩn</v>
          </cell>
        </row>
        <row r="76">
          <cell r="E76" t="str">
            <v>I621</v>
          </cell>
          <cell r="F76" t="str">
            <v>Biển hiệu theo quy chuẩn nhận diện thương hiệu VNPT</v>
          </cell>
          <cell r="I76">
            <v>20</v>
          </cell>
          <cell r="J76" t="str">
            <v>điểm</v>
          </cell>
          <cell r="K76" t="str">
            <v>Quý</v>
          </cell>
          <cell r="M76" t="str">
            <v>Ban Chất lượng</v>
          </cell>
          <cell r="N76" t="str">
            <v>Ban Chất lượng</v>
          </cell>
          <cell r="P76" t="str">
            <v>Biển hiệu theo đúng chuẩn quy định tại QĐ-02/VNPT VNP-CL</v>
          </cell>
          <cell r="V76" t="str">
            <v>Biển hiệu theo quy chuẩn nhận diện thương hiệu VNPT</v>
          </cell>
          <cell r="AH76" t="str">
            <v>Biển hiệu theo quy chuẩn nhận diện thương hiệu VNPT</v>
          </cell>
        </row>
        <row r="77">
          <cell r="E77" t="str">
            <v>I622</v>
          </cell>
          <cell r="F77" t="str">
            <v>Biển hiệu được treo, dựng ở vị trí dễ quan sát</v>
          </cell>
          <cell r="I77">
            <v>10</v>
          </cell>
          <cell r="J77" t="str">
            <v>điểm</v>
          </cell>
          <cell r="K77" t="str">
            <v>Quý</v>
          </cell>
          <cell r="M77" t="str">
            <v>Ban Chất lượng</v>
          </cell>
          <cell r="N77" t="str">
            <v>Ban Chất lượng</v>
          </cell>
          <cell r="V77" t="str">
            <v>Biển hiệu được treo, dựng ở vị trí dễ quan sát</v>
          </cell>
          <cell r="AH77" t="str">
            <v>Biển hiệu được treo, dựng ở vị trí dễ quan sát</v>
          </cell>
        </row>
        <row r="78">
          <cell r="E78" t="str">
            <v>I63</v>
          </cell>
          <cell r="F78" t="str">
            <v>- Hiệu quả truyền thông thương hiệu+ FanPage: share, like+ PR+ Website</v>
          </cell>
          <cell r="K78" t="str">
            <v>Quý</v>
          </cell>
          <cell r="L78" t="str">
            <v>Giao cho Ban KHCN, KHDN</v>
          </cell>
          <cell r="M78" t="str">
            <v>Ban NCTT&amp;PTDV</v>
          </cell>
          <cell r="N78" t="str">
            <v>Ban NCTT&amp;PTDV</v>
          </cell>
          <cell r="O78" t="str">
            <v>Thống kê</v>
          </cell>
          <cell r="P78" t="str">
            <v>MĐHT=100%*KQTH/Chỉ tiêu giao</v>
          </cell>
          <cell r="AE78" t="str">
            <v>- Hiệu quả truyền thông thương hiệu+TVAd: GRP, REACH+1, +2, +3, OTS)+ FanPage: share, like+ PR</v>
          </cell>
        </row>
        <row r="79">
          <cell r="E79" t="str">
            <v>I71</v>
          </cell>
          <cell r="F79" t="str">
            <v>Tỷ lệ khách hàng sử dụng 2 dịch vụ trở lên (áp dụng với nhóm KH Doanh nghiệp, internet/ MyTV với KH cá nhân) hoặc:Tỷ lệ khách hàng sử dụng thêm dịch vụ</v>
          </cell>
          <cell r="J79" t="str">
            <v>%</v>
          </cell>
          <cell r="K79" t="str">
            <v>06 Tháng</v>
          </cell>
          <cell r="L79" t="str">
            <v>Chưa giao, xem xét bỏ chỉ tiêu này vì đã chỉ tiêu I42</v>
          </cell>
          <cell r="M79" t="str">
            <v>Ban NCTT&amp;PTDV</v>
          </cell>
          <cell r="N79" t="str">
            <v>Ban NCTT&amp;PTDV</v>
          </cell>
          <cell r="O79" t="str">
            <v>Số lượng KH sử dụng thêm dịch vụ/ Tổng số KH</v>
          </cell>
          <cell r="P79" t="str">
            <v>MĐHT=100%*KQTH/Chỉ tiêu giao</v>
          </cell>
        </row>
        <row r="80">
          <cell r="E80" t="str">
            <v>I72</v>
          </cell>
          <cell r="F80" t="str">
            <v>Tỷ lệ khách hàng sử dụng đa dịch vụ được quản lý chung một account/ID</v>
          </cell>
          <cell r="J80" t="str">
            <v>%</v>
          </cell>
          <cell r="K80" t="str">
            <v>06 Tháng</v>
          </cell>
          <cell r="L80" t="str">
            <v>Chưa giao</v>
          </cell>
          <cell r="M80" t="str">
            <v>Ban NCTT&amp;PTDV</v>
          </cell>
          <cell r="N80" t="str">
            <v>Ban NCTT&amp;PTDVBan KTNV</v>
          </cell>
          <cell r="O80" t="str">
            <v>KH sử dụng đa dịch vụ quản lý trên nhiều account/ Tổng số KH sử dụng đa dịch vụ</v>
          </cell>
          <cell r="P80" t="str">
            <v>MĐHT=100%*KQTH/Chỉ tiêu giao</v>
          </cell>
          <cell r="AF80" t="str">
            <v>Tỷ lệ khách hàng sử dụng đa dịch vụ được quản lý chung một account/ID</v>
          </cell>
          <cell r="AG80" t="str">
            <v>Tỷ lệ khách hàng sử dụng đa dịch vụ được quản lý chung một account/ID</v>
          </cell>
          <cell r="AH80" t="str">
            <v>Tỷ lệ khách hàng sử dụng đa dịch vụ được quản lý chung một account/ID</v>
          </cell>
        </row>
        <row r="81">
          <cell r="E81" t="str">
            <v>I81</v>
          </cell>
          <cell r="F81" t="str">
            <v>Số lượng báo cáo khả thi về sản phẩm dịch vụ mới (GTGT) được lựa chọn để triển khai</v>
          </cell>
          <cell r="J81" t="str">
            <v>Báo cáo</v>
          </cell>
          <cell r="K81" t="str">
            <v>06 Tháng</v>
          </cell>
          <cell r="L81" t="str">
            <v>Chưa giao</v>
          </cell>
          <cell r="M81" t="str">
            <v>Ban KHĐT</v>
          </cell>
          <cell r="N81" t="str">
            <v>Ban KHĐTBan NCTT&amp;PTDV</v>
          </cell>
          <cell r="O81" t="str">
            <v>Thống kê</v>
          </cell>
          <cell r="P81" t="str">
            <v>MĐHT=100%*KQTH/Chỉ tiêu giao</v>
          </cell>
          <cell r="AI81" t="str">
            <v>Số lượng báo cáo khả thi về sản phẩm dịch vụ mới (GTGT) được lựa chọn để triển khai</v>
          </cell>
          <cell r="AJ81" t="str">
            <v>Số lượng báo cáo khả thi về sản phẩm dịch vụ mới (CNTT) được lựa chọn để triển khai</v>
          </cell>
        </row>
        <row r="82">
          <cell r="E82" t="str">
            <v>I82</v>
          </cell>
          <cell r="F82" t="str">
            <v>Số lượng dịch vụ phần mềm &amp; CNTT được phát triển và thương mại hóa thành công</v>
          </cell>
          <cell r="J82" t="str">
            <v>Dịch vụ</v>
          </cell>
          <cell r="K82" t="str">
            <v>06 Tháng</v>
          </cell>
          <cell r="L82" t="str">
            <v>Chưa giao, giao theo kế hoạch đăng ký của Ban/ yêu cầu từ BLĐ</v>
          </cell>
          <cell r="M82" t="str">
            <v>Ban KHĐTBan KTNV</v>
          </cell>
          <cell r="N82" t="str">
            <v>Ban KHĐTBan NCTT&amp;PTDVBan KTNV</v>
          </cell>
          <cell r="O82" t="str">
            <v>Thống kê</v>
          </cell>
          <cell r="P82" t="str">
            <v>MĐHT=100%*KQTH/Chỉ tiêu giao</v>
          </cell>
          <cell r="AA82" t="str">
            <v>Mức độ triển khai phần mềm quản lý chất lượng</v>
          </cell>
          <cell r="AG82" t="str">
            <v>Số lượng giải pháp được phát triển và thương mại hóa thành công</v>
          </cell>
          <cell r="AJ82" t="str">
            <v>Số lượng dịch vụ CNTT được phát triển và thương mại hóa thành công</v>
          </cell>
        </row>
        <row r="83">
          <cell r="E83" t="str">
            <v>I83</v>
          </cell>
          <cell r="F83" t="str">
            <v>Số lượng dịch vụ GTGT được thương mại hóa thành công</v>
          </cell>
          <cell r="J83" t="str">
            <v>Dịch vụ</v>
          </cell>
          <cell r="K83" t="str">
            <v>06 Tháng</v>
          </cell>
          <cell r="L83" t="str">
            <v>Chưa giao</v>
          </cell>
          <cell r="M83" t="str">
            <v>Ban KHĐT</v>
          </cell>
          <cell r="N83" t="str">
            <v>Ban KHĐTBan NCTT&amp;PTDV</v>
          </cell>
          <cell r="O83" t="str">
            <v>Thống kê</v>
          </cell>
          <cell r="P83" t="str">
            <v>MĐHT=100%*KQTH/Chỉ tiêu giao</v>
          </cell>
          <cell r="AI83" t="str">
            <v>Số lượng dịch vụ GTGT/Giải pháp tích hợp được thương mại hóa thành công</v>
          </cell>
        </row>
        <row r="84">
          <cell r="G84">
            <v>0.16999999999999998</v>
          </cell>
        </row>
        <row r="85">
          <cell r="E85" t="str">
            <v>L11</v>
          </cell>
          <cell r="F85" t="str">
            <v>PA1: Tỷ lệ CBQL được chuẩn hóa năng lực qua đào tạoPA2: Tỷ lệ CBQL đáp ứng chuẩn năng lực vị trí</v>
          </cell>
          <cell r="J85" t="str">
            <v>%</v>
          </cell>
          <cell r="K85" t="str">
            <v>Năm</v>
          </cell>
          <cell r="L85" t="str">
            <v>Chưa giao</v>
          </cell>
          <cell r="M85" t="str">
            <v>Ban Nhân sự</v>
          </cell>
          <cell r="N85" t="str">
            <v>Ban Nhân sự</v>
          </cell>
          <cell r="O85" t="str">
            <v>Khảo sát đánh giá năng lực CBQL/ Thống kê đào tạo</v>
          </cell>
          <cell r="P85" t="str">
            <v>MĐHT=100%*KQTH/Chỉ tiêu giaoMĐHT không quá 100%</v>
          </cell>
          <cell r="X85" t="str">
            <v>Kế hoạch đào tạo thực hiện kịp thời, chính xác.</v>
          </cell>
          <cell r="Y85" t="str">
            <v>PA1: Tỷ lệ CBQL được chuẩn hóa năng lựcPA2: Tỷ lệ CBQL đáp ứng chuẩn năng lực vị trí</v>
          </cell>
          <cell r="Z85" t="str">
            <v>PA1: Tỷ lệ CBQL được chuẩn hóa năng lựcPA2: Tỷ lệ CBQL đáp ứng chuẩn năng lực vị trí</v>
          </cell>
          <cell r="AA85" t="str">
            <v>PA1: Tỷ lệ CBQL được chuẩn hóa năng lựcPA2: Tỷ lệ CBQL đáp ứng chuẩn năng lực vị trí</v>
          </cell>
          <cell r="AB85" t="str">
            <v>PA2: Tỷ lệ CBQL đáp ứng chuẩn năng lực vị trí</v>
          </cell>
          <cell r="AC85" t="str">
            <v>PA1: Tỷ lệ CBQL được chuẩn hóa năng lựcPA2: Tỷ lệ CBQL đáp ứng chuẩn năng lực vị trí</v>
          </cell>
          <cell r="AD85" t="str">
            <v>PA1: Tỷ lệ CBQL được chuẩn hóa năng lựcPA2: Tỷ lệ CBQL đáp ứng chuẩn năng lực vị trí</v>
          </cell>
          <cell r="AE85" t="str">
            <v>PA1: Tỷ lệ CBQL được chuẩn hóa năng lựcPA2: Tỷ lệ CBQL đáp ứng chuẩn năng lực vị trí</v>
          </cell>
          <cell r="AF85" t="str">
            <v>PA1: Tỷ lệ CBQL được chuẩn hóa năng lựcPA2: Tỷ lệ CBQL đáp ứng chuẩn năng lực vị trí</v>
          </cell>
          <cell r="AG85" t="str">
            <v>PA1: Tỷ lệ CBQL được chuẩn hóa năng lựcPA2: Tỷ lệ CBQL đáp ứng chuẩn năng lực vị trí</v>
          </cell>
          <cell r="AH85" t="str">
            <v>PA1: Tỷ lệ CBQL được chuẩn hóa năng lựcPA2: Tỷ lệ CBQL đáp ứng chuẩn năng lực vị trí</v>
          </cell>
        </row>
        <row r="86">
          <cell r="E86" t="str">
            <v>L12</v>
          </cell>
          <cell r="F86" t="str">
            <v>Tỷ lệ (hoặc số lượng) nhân viên bán hàng và dịch vụ khách hàng được đào tạo theo chuẩn dịch vụ khách hàng mới.</v>
          </cell>
          <cell r="J86" t="str">
            <v>%</v>
          </cell>
          <cell r="K86" t="str">
            <v>06 Tháng</v>
          </cell>
          <cell r="L86" t="str">
            <v>Giao Q4</v>
          </cell>
          <cell r="M86" t="str">
            <v>Ban Nhân sự</v>
          </cell>
          <cell r="N86" t="str">
            <v>Ban Nhân sự</v>
          </cell>
          <cell r="O86" t="str">
            <v>Tỷ trọng 60%: Tỷ lệ CBNV tham gia đào tạo thực tế/ Tổng số CBNV đăng ký đào tạoTỷ trọng 40%: Tỷ lệ CBNV tham gia đào tạo đầy đủ/ Tổng số buổi tổ chức đào tạo</v>
          </cell>
          <cell r="P86" t="str">
            <v>MĐHT=100%*KQTH/Chỉ tiêu giaoMĐHT không quá 100%</v>
          </cell>
          <cell r="V86" t="str">
            <v>Tỷ lệ CBNV được đào tạo theo kế hoạch đăng ký</v>
          </cell>
          <cell r="X86" t="str">
            <v>Tỷ lệ CBNV được đào tạo theo kế hoạch đăng ký</v>
          </cell>
          <cell r="AA86" t="str">
            <v>Tỷ lệ CBNV được đào tạo theo kế hoạch đăng ký</v>
          </cell>
          <cell r="AE86" t="str">
            <v>Tỷ lệ CBNV được đào tạo theo kế hoạch đăng ký</v>
          </cell>
          <cell r="AF86" t="str">
            <v>Tỷ lệ CBNV được đào tạo theo kế hoạch đăng ký</v>
          </cell>
          <cell r="AG86" t="str">
            <v>Tỷ lệ CBNV được đào tạo theo kế hoạch đăng ký</v>
          </cell>
          <cell r="AH86" t="str">
            <v>Tỷ lệ lao động được đào tạo theo đúng kế hoạch được duyệt</v>
          </cell>
          <cell r="AI86" t="str">
            <v>Tỷ lệ CBNV được đào tạo theo kế hoạch đăng ký</v>
          </cell>
          <cell r="AJ86" t="str">
            <v>Tỷ lệ CBNV được đào tạo theo kế hoạch đăng ký</v>
          </cell>
          <cell r="AK86" t="str">
            <v>Tỷ lệ CBNV được đào tạo theo kế hoạch đăng ký</v>
          </cell>
          <cell r="AL86" t="str">
            <v>Tỷ lệ CBNV được đào tạo theo kế hoạch đăng ký</v>
          </cell>
        </row>
        <row r="87">
          <cell r="E87" t="str">
            <v>L21</v>
          </cell>
          <cell r="F87" t="str">
            <v>Tỷ lệ các quy trình quản lý vận hành (CRM, OS) được xây dựng đạt chuẩn tiên tiến</v>
          </cell>
          <cell r="G87">
            <v>0.05</v>
          </cell>
          <cell r="I87">
            <v>85</v>
          </cell>
          <cell r="J87" t="str">
            <v>%</v>
          </cell>
          <cell r="K87" t="str">
            <v>Quý</v>
          </cell>
          <cell r="L87" t="str">
            <v>Số lượng quy trình, quy định, quy chế được ban hành và áp dụng đúng hạn theo đăng ký</v>
          </cell>
          <cell r="M87" t="str">
            <v>Ban Chất lượng</v>
          </cell>
          <cell r="N87" t="str">
            <v>Ban Chất lượng</v>
          </cell>
          <cell r="O87" t="str">
            <v>KQTH=100%-1,5%*∑Số quy trình chậm*Số ngày chậm</v>
          </cell>
          <cell r="P87" t="str">
            <v xml:space="preserve">MĐHT=100%*KQTH/ Chỉ tiêu giao MĐHT tối đa 100%                    </v>
          </cell>
          <cell r="V87" t="str">
            <v>Số lượng/tỷ lệ quy trình quản lý vận hành nghiệp vụ được xây dựng và ban hành đúng theo kế hoạch đăng ký về tiến độ và chất lượng</v>
          </cell>
          <cell r="X87" t="str">
            <v>Số lượng/tỷ lệ quy trình quản lý vận hành nghiệp vụ được xây dựng và ban hành đúng theo kế hoạch đăng ký về tiến độ và chất lượng</v>
          </cell>
          <cell r="Y87" t="str">
            <v>Số lượng/tỷ lệ quy trình quản lý vận hành nghiệp vụ được xây dựng và ban hành đúng theo kế hoạch đăng ký về tiến độ và chất lượng</v>
          </cell>
          <cell r="Z87" t="str">
            <v>Số lượng/tỷ lệ quy trình quản lý vận hành nghiệp vụ được xây dựng và ban hành đúng theo kế hoạch đăng ký về tiến độ và chất lượng</v>
          </cell>
          <cell r="AA87" t="str">
            <v>Số lượng/tỷ lệ quy trình quản lý vận hành nghiệp vụ được xây dựng và ban hành đúng theo kế hoạch đăng ký về tiến độ và chất lượng</v>
          </cell>
          <cell r="AB87" t="str">
            <v>Số lượng/tỷ lệ quy trình quản lý vận hành nghiệp vụ được xây dựng và ban hành đúng theo kế hoạch đăng ký về tiến độ và chất lượng</v>
          </cell>
          <cell r="AC87" t="str">
            <v>Số lượng/tỷ lệ quy trình quản lý vận hành nghiệp vụ được xây dựng và ban hành đúng theo kế hoạch đăng ký về tiến độ và chất lượng</v>
          </cell>
          <cell r="AD87" t="str">
            <v>Số lượng/tỷ lệ quy trình quản lý vận hành nghiệp vụ được xây dựng và ban hành đúng theo kế hoạch đăng ký về tiến độ và chất lượng</v>
          </cell>
          <cell r="AE87" t="str">
            <v>Số lượng/tỷ lệ quy trình quản lý vận hành nghiệp vụ được xây dựng và ban hành đúng theo kế hoạch đăng ký về tiến độ và chất lượng</v>
          </cell>
          <cell r="AF87" t="str">
            <v>Số lượng/tỷ lệ quy trình quản lý vận hành nghiệp vụ được xây dựng và ban hành đúng theo kế hoạch đăng ký về tiến độ và chất lượng</v>
          </cell>
          <cell r="AG87" t="str">
            <v>Số lượng/tỷ lệ quy trình quản lý vận hành nghiệp vụ được xây dựng và ban hành đúng theo kế hoạch đăng ký về tiến độ và chất lượng</v>
          </cell>
          <cell r="AH87" t="str">
            <v>Số lượng/tỷ lệ quy trình quản lý vận hành nghiệp vụ được xây dựng và ban hành đúng theo kế hoạch đăng ký về tiến độ và chất lượng</v>
          </cell>
          <cell r="AJ87" t="str">
            <v>Số lượng/tỷ lệ quy trình quản lý vận hành nghiệp vụ được xây dựng và ban hành đúng theo kế hoạch đăng ký về tiến độ và chất lượng</v>
          </cell>
          <cell r="AK87" t="str">
            <v>Số lượng/tỷ lệ quy trình quản lý vận hành nghiệp vụ được xây dựng và ban hành đúng theo kế hoạch đăng ký về tiến độ và chất lượng</v>
          </cell>
          <cell r="AL87" t="str">
            <v>Số lượng/tỷ lệ quy trình quản lý vận hành nghiệp vụ được xây dựng và ban hành đúng theo kế hoạch đăng ký về tiến độ và chất lượng</v>
          </cell>
        </row>
        <row r="88">
          <cell r="E88" t="str">
            <v>L22</v>
          </cell>
          <cell r="F88" t="str">
            <v>Số lượng quy trình quản trị nhân sự đạt chuẩn tiên tiến</v>
          </cell>
          <cell r="J88" t="str">
            <v>Quy trình</v>
          </cell>
          <cell r="K88" t="str">
            <v>Năm</v>
          </cell>
          <cell r="L88" t="str">
            <v>Chưa giao</v>
          </cell>
          <cell r="M88" t="str">
            <v>Ban Nhân sự</v>
          </cell>
          <cell r="N88" t="str">
            <v>Ban Nhân sự</v>
          </cell>
          <cell r="O88" t="str">
            <v>Thống kê</v>
          </cell>
          <cell r="P88" t="str">
            <v>Đơn vị giao và đơn vị thẩm định xác định cách đo lường/ cách đánh giá theo các mức hoàn thành ở 2 cột này</v>
          </cell>
          <cell r="X88" t="str">
            <v>Số lượng quy trình quản trị nhân sự đạt chuẩn tiên tiến (PCMM)</v>
          </cell>
          <cell r="AK88" t="str">
            <v>Mức độ triển khai BSC/KPIs tại đơn vị ( báo cáo đúng hạn, chính xác).</v>
          </cell>
        </row>
        <row r="89">
          <cell r="E89" t="str">
            <v>L23</v>
          </cell>
          <cell r="F89" t="str">
            <v>Tỷ lệ CBNV hiểu về VHDN VNPT-Vinaphone</v>
          </cell>
          <cell r="J89" t="str">
            <v>%</v>
          </cell>
          <cell r="K89" t="str">
            <v>Năm</v>
          </cell>
          <cell r="L89" t="str">
            <v>Chưa giao do TĐ chưa giao chỉ tiêu này</v>
          </cell>
          <cell r="M89" t="str">
            <v>Văn phòng</v>
          </cell>
          <cell r="N89" t="str">
            <v>Văn phòng</v>
          </cell>
          <cell r="O89" t="str">
            <v>Khảo sát nhận thức VHDN CBNV</v>
          </cell>
          <cell r="P89" t="str">
            <v>Đơn vị giao và đơn vị thẩm định xác định cách đo lường/ cách đánh giá theo các mức hoàn thành ở 2 cột này</v>
          </cell>
          <cell r="AK89" t="str">
            <v>Thời hạn báo cáo kết quả thực hiện BSC/KPIs</v>
          </cell>
        </row>
        <row r="90">
          <cell r="E90" t="str">
            <v>L24</v>
          </cell>
          <cell r="F90" t="str">
            <v>Mức độ triển khai BSC/KPIs tại đơn vị ( báo cáo đúng hạn, chính xác).</v>
          </cell>
          <cell r="G90">
            <v>0.05</v>
          </cell>
          <cell r="I90">
            <v>100</v>
          </cell>
          <cell r="J90" t="str">
            <v>%</v>
          </cell>
          <cell r="K90" t="str">
            <v>Quý</v>
          </cell>
          <cell r="L90" t="str">
            <v>Giao Q4</v>
          </cell>
          <cell r="M90" t="str">
            <v>Ban Nhân sự</v>
          </cell>
          <cell r="N90" t="str">
            <v>Ban Nhân sự</v>
          </cell>
          <cell r="O90" t="str">
            <v xml:space="preserve">KQTH=L24=100%*∑(L241+L242)/(5*Tổng số báo cáo) </v>
          </cell>
          <cell r="P90" t="str">
            <v xml:space="preserve">MĐHT=100%*KQTH/ Chỉ tiêu giao MĐHT tối đa 100%                    </v>
          </cell>
          <cell r="V90" t="str">
            <v>Mức độ triển khai BSC/KPIs tại đơn vị ( báo cáo đúng hạn, chính xác).</v>
          </cell>
          <cell r="X90" t="str">
            <v>Kế hoạch triển khai BSC/KPIs đúng hạn, chính xác</v>
          </cell>
          <cell r="Y90" t="str">
            <v>Mức độ triển khai BSC/KPIs tại đơn vị ( báo cáo đúng hạn, chính xác).</v>
          </cell>
          <cell r="Z90" t="str">
            <v>Mức độ triển khai BSC/KPIs tại đơn vị ( báo cáo đúng hạn, chính xác).</v>
          </cell>
          <cell r="AA90" t="str">
            <v>Mức độ triển khai BSC/KPIs tại đơn vị ( báo cáo đúng hạn, chính xác).</v>
          </cell>
          <cell r="AB90" t="str">
            <v>Mức độ triển khai BSC/KPIs tại đơn vị ( báo cáo đúng hạn, chính xác).</v>
          </cell>
          <cell r="AC90" t="str">
            <v>Mức độ triển khai BSC/KPIs tại đơn vị ( báo cáo đúng hạn, chính xác).</v>
          </cell>
          <cell r="AD90" t="str">
            <v>Mức độ triển khai BSC/KPIs tại đơn vị ( báo cáo đúng hạn, chính xác).</v>
          </cell>
          <cell r="AE90" t="str">
            <v>Mức độ triển khai BSC/KPIs tại đơn vị ( báo cáo đúng hạn, chính xác).</v>
          </cell>
          <cell r="AF90" t="str">
            <v>Mức độ triển khai BSC/KPIs tại đơn vị ( báo cáo đúng hạn, chính xác).</v>
          </cell>
          <cell r="AG90" t="str">
            <v>Mức độ triển khai BSC/KPIs tại đơn vị ( báo cáo đúng hạn, chính xác).</v>
          </cell>
          <cell r="AH90" t="str">
            <v>Mức độ triển khai BSC/KPIs tại đơn vị ( báo cáo đúng hạn, chính xác).</v>
          </cell>
          <cell r="AI90" t="str">
            <v>Mức độ triển khai BSC/KPIs tại đơn vị ( báo cáo đúng hạn, chính xác).</v>
          </cell>
          <cell r="AJ90" t="str">
            <v>Mức độ triển khai BSC/KPIs tại đơn vị ( báo cáo đúng hạn, chính xác).</v>
          </cell>
          <cell r="AK90" t="str">
            <v>Số liệu báo cáo thực hiện BSC/KPIs</v>
          </cell>
          <cell r="AL90" t="str">
            <v>Mức độ triển khai BSC/KPIs tại đơn vị ( báo cáo đúng hạn, chính xác).</v>
          </cell>
        </row>
        <row r="91">
          <cell r="E91" t="str">
            <v>L241</v>
          </cell>
          <cell r="F91" t="str">
            <v>Thời hạn báo cáo kết quả thực hiện BSC/KPIs hàng quý và báo cáo kết quả thực hiện công việc hàng tháng</v>
          </cell>
          <cell r="H91">
            <v>2</v>
          </cell>
          <cell r="I91">
            <v>2</v>
          </cell>
          <cell r="J91" t="str">
            <v>Điểm</v>
          </cell>
          <cell r="K91" t="str">
            <v>Quý</v>
          </cell>
          <cell r="L91" t="str">
            <v>Giao Q4</v>
          </cell>
          <cell r="M91" t="str">
            <v>Ban Nhân sự</v>
          </cell>
          <cell r="N91" t="str">
            <v>Ban Nhân sự</v>
          </cell>
          <cell r="O91" t="str">
            <v>Tiến độ</v>
          </cell>
          <cell r="P91" t="str">
            <v>- Đúng hạn: 2 điểm- Chậm 2 ngày so với QĐ: 1 điểm- Chậm &gt;2 ngày so với quy định: 0 điểm</v>
          </cell>
          <cell r="Q91" t="str">
            <v>Thời hạn gửi số liệu báo cáo theo quy định tại quy chế giao và đánh giá BSC/KPIs</v>
          </cell>
          <cell r="V91" t="str">
            <v>Thời hạn báo cáo kết quả thực hiện BSC/KPIs hàng quý và báo cáo kết quả thực hiện công việc hàng tháng</v>
          </cell>
          <cell r="X91" t="str">
            <v>Thời hạn báo cáo kết quả thực hiện BSC/KPIs hàng quý và báo cáo kết quả thực hiện công việc hàng tháng</v>
          </cell>
          <cell r="Y91" t="str">
            <v>Thời hạn báo cáo kết quả thực hiện BSC/KPIs hàng quý và báo cáo kết quả thực hiện công việc hàng tháng</v>
          </cell>
          <cell r="Z91" t="str">
            <v>Thời hạn báo cáo kết quả thực hiện BSC/KPIs hàng quý và báo cáo kết quả thực hiện công việc hàng tháng</v>
          </cell>
          <cell r="AA91" t="str">
            <v>Thời hạn báo cáo kết quả thực hiện BSC/KPIs hàng quý và báo cáo kết quả thực hiện công việc hàng tháng</v>
          </cell>
          <cell r="AB91" t="str">
            <v>Thời hạn báo cáo kết quả thực hiện BSC/KPIs hàng quý và báo cáo kết quả thực hiện công việc hàng tháng</v>
          </cell>
          <cell r="AC91" t="str">
            <v>Thời hạn báo cáo kết quả thực hiện BSC/KPIs hàng quý và báo cáo kết quả thực hiện công việc hàng tháng</v>
          </cell>
          <cell r="AD91" t="str">
            <v>Thời hạn báo cáo kết quả thực hiện BSC/KPIs hàng quý và báo cáo kết quả thực hiện công việc hàng tháng</v>
          </cell>
          <cell r="AE91" t="str">
            <v>Thời hạn báo cáo kết quả thực hiện BSC/KPIs hàng quý và báo cáo kết quả thực hiện công việc hàng tháng</v>
          </cell>
          <cell r="AF91" t="str">
            <v>Thời hạn báo cáo kết quả thực hiện BSC/KPIs hàng quý và báo cáo kết quả thực hiện công việc hàng tháng</v>
          </cell>
          <cell r="AG91" t="str">
            <v>Thời hạn báo cáo kết quả thực hiện BSC/KPIs hàng quý và báo cáo kết quả thực hiện công việc hàng tháng</v>
          </cell>
          <cell r="AH91" t="str">
            <v>Thời hạn báo cáo kết quả thực hiện BSC/KPIs hàng quý và báo cáo kết quả thực hiện công việc hàng tháng</v>
          </cell>
          <cell r="AI91" t="str">
            <v>Thời hạn báo cáo kết quả thực hiện BSC/KPIs hàng quý và báo cáo kết quả thực hiện công việc hàng tháng</v>
          </cell>
          <cell r="AJ91" t="str">
            <v>Thời hạn báo cáo kết quả thực hiện BSC/KPIs hàng quý và báo cáo kết quả thực hiện công việc hàng tháng</v>
          </cell>
          <cell r="AK91" t="str">
            <v>Tiến độ và chất lượng báo cáo theo quy định</v>
          </cell>
          <cell r="AL91" t="str">
            <v>Thời hạn báo cáo kết quả thực hiện BSC/KPIs hàng quý và báo cáo kết quả thực hiện công việc hàng tháng</v>
          </cell>
        </row>
        <row r="92">
          <cell r="E92" t="str">
            <v>L242</v>
          </cell>
          <cell r="F92" t="str">
            <v>Số liệu báo cáo thực hiện BSC/KPIs và báo cáo kết quả thực hiện công việc hàng tháng</v>
          </cell>
          <cell r="H92">
            <v>3</v>
          </cell>
          <cell r="I92">
            <v>3</v>
          </cell>
          <cell r="J92" t="str">
            <v>Điểm</v>
          </cell>
          <cell r="K92" t="str">
            <v>Quý</v>
          </cell>
          <cell r="L92" t="str">
            <v>Giao Q4</v>
          </cell>
          <cell r="M92" t="str">
            <v>Ban Nhân sự</v>
          </cell>
          <cell r="N92" t="str">
            <v>Ban Nhân sự</v>
          </cell>
          <cell r="O92" t="str">
            <v>Chất lượng</v>
          </cell>
          <cell r="P92" t="str">
            <v>-Đầy đủ số liệu theo biểu mẫu quy định và chất lượng báo cáo tốt : 3 điểm- Báo cáo đầy đủ số liệu: 2 điểm- Báo cáo không đầy đủ số liệu: 0 điểm</v>
          </cell>
          <cell r="Q92" t="str">
            <v xml:space="preserve">Chất lượng báo cáo tốt đáp ứng 3 yêu cầu:- Đơn vị xác định kết quả KPI theo đúng yêu cầu, không phải sửa lại số liệu so với báo cáo lần đầu, nộp số liệu báo cáo không được chậm hơn 2 ngày so với QĐ. </v>
          </cell>
          <cell r="V92" t="str">
            <v>Số liệu báo cáo thực hiện BSC/KPIs và báo cáo kết quả thực hiện công việc hàng tháng</v>
          </cell>
          <cell r="X92" t="str">
            <v>Số liệu báo cáo thực hiện BSC/KPIs và báo cáo kết quả thực hiện công việc hàng tháng</v>
          </cell>
          <cell r="Y92" t="str">
            <v>Số liệu báo cáo thực hiện BSC/KPIs và báo cáo kết quả thực hiện công việc hàng tháng</v>
          </cell>
          <cell r="Z92" t="str">
            <v>Số liệu báo cáo thực hiện BSC/KPIs và báo cáo kết quả thực hiện công việc hàng tháng</v>
          </cell>
          <cell r="AA92" t="str">
            <v>Số liệu báo cáo thực hiện BSC/KPIs và báo cáo kết quả thực hiện công việc hàng tháng</v>
          </cell>
          <cell r="AB92" t="str">
            <v>Số liệu báo cáo thực hiện BSC/KPIs và báo cáo kết quả thực hiện công việc hàng tháng</v>
          </cell>
          <cell r="AC92" t="str">
            <v>Số liệu báo cáo thực hiện BSC/KPIs và báo cáo kết quả thực hiện công việc hàng tháng</v>
          </cell>
          <cell r="AD92" t="str">
            <v>Số liệu báo cáo thực hiện BSC/KPIs và báo cáo kết quả thực hiện công việc hàng tháng</v>
          </cell>
          <cell r="AE92" t="str">
            <v>Số liệu báo cáo thực hiện BSC/KPIs và báo cáo kết quả thực hiện công việc hàng tháng</v>
          </cell>
          <cell r="AF92" t="str">
            <v>Số liệu báo cáo thực hiện BSC/KPIs và báo cáo kết quả thực hiện công việc hàng tháng</v>
          </cell>
          <cell r="AG92" t="str">
            <v>Số liệu báo cáo thực hiện BSC/KPIs và báo cáo kết quả thực hiện công việc hàng tháng</v>
          </cell>
          <cell r="AH92" t="str">
            <v>Số liệu báo cáo thực hiện BSC/KPIs và báo cáo kết quả thực hiện công việc hàng tháng</v>
          </cell>
          <cell r="AI92" t="str">
            <v>Số liệu báo cáo thực hiện BSC/KPIs và báo cáo kết quả thực hiện công việc hàng tháng</v>
          </cell>
          <cell r="AJ92" t="str">
            <v>Số liệu báo cáo thực hiện BSC/KPIs và báo cáo kết quả thực hiện công việc hàng tháng</v>
          </cell>
          <cell r="AK92" t="str">
            <v>Số liệu báo cáo thực hiện BSC/KPIs</v>
          </cell>
          <cell r="AL92" t="str">
            <v>Số liệu báo cáo thực hiện BSC/KPIs và báo cáo kết quả thực hiện công việc hàng tháng</v>
          </cell>
        </row>
        <row r="93">
          <cell r="E93" t="str">
            <v>L31</v>
          </cell>
          <cell r="F93" t="str">
            <v>GĐ1: Hoàn thành 'Tỷ lệ khách hàng chuyển đổi sang hệ thống cơ sở dữ liệu khách hàng tập trung</v>
          </cell>
          <cell r="G93">
            <v>0.05</v>
          </cell>
          <cell r="J93" t="str">
            <v>%</v>
          </cell>
          <cell r="K93" t="str">
            <v>Quý</v>
          </cell>
          <cell r="L93" t="str">
            <v>Chưa giao</v>
          </cell>
          <cell r="M93" t="str">
            <v>Nhóm CRM</v>
          </cell>
          <cell r="N93" t="str">
            <v>Ban KTNV</v>
          </cell>
          <cell r="O93" t="str">
            <v>Thống kê</v>
          </cell>
          <cell r="P93" t="str">
            <v xml:space="preserve">MĐHT=100%*KQTH/ Chỉ tiêu giao MĐHT tối đa 100%                    </v>
          </cell>
          <cell r="AF93" t="str">
            <v>Tỷ lệ khách hàng chuyển đổi sang hệ thống cơ sở dữ liệu khách hàng tập trung</v>
          </cell>
          <cell r="AG93" t="str">
            <v>Tỷ lệ khách hàng chuyển đổi sang hệ thống cơ sở dữ liệu khách hàng tập trung ( không bao gồm Mega,Fiber,VNPT-CA, Nội dung)</v>
          </cell>
          <cell r="AH93" t="str">
            <v>Tỷ lệ khách hàng chuyển đổi sang hệ thống cơ sở dữ liệu khách hàng tập trung</v>
          </cell>
          <cell r="AK93" t="str">
            <v>Tiến độ và chất lượng báo cáo theo quy định</v>
          </cell>
        </row>
        <row r="94">
          <cell r="E94" t="str">
            <v>L32</v>
          </cell>
          <cell r="F94" t="str">
            <v>PA1: Số lượng các quy trình tác nghiệp (CRM, HRM, AMS…) được onlinePA2: Số phần mềm quản trị được triển khai ứng dụng (CRM, HRM, AMS)</v>
          </cell>
          <cell r="J94" t="str">
            <v>%</v>
          </cell>
          <cell r="K94" t="str">
            <v>Quý</v>
          </cell>
          <cell r="L94" t="str">
            <v>Chưa giao nhưng đề nghị các đơn vị đăng ký kế hoạch online hóa các quy trình tác nghiệp/ phối hợp nội bộ</v>
          </cell>
          <cell r="M94" t="str">
            <v>Ban KTTC</v>
          </cell>
          <cell r="N94" t="str">
            <v>Ban KTNVBan Chất lượng</v>
          </cell>
          <cell r="O94" t="str">
            <v>Số lượng đơn vị đã áp dụng bài toán kế toán online/ Tổng số đơn vị được yêu cầu áp dụng</v>
          </cell>
          <cell r="P94" t="str">
            <v xml:space="preserve">MĐHT=100%*KQTH/ Chỉ tiêu giao MĐHT tối đa 100%                    </v>
          </cell>
          <cell r="X94" t="str">
            <v>Mức độ hoàn thiện &amp; triển khai ứng dụng HRM, quản lý KPI</v>
          </cell>
          <cell r="Y94" t="str">
            <v>Số lượng đơn vị triển khai xong bài toán kế toán online vào 31/12/2015</v>
          </cell>
          <cell r="Z94" t="str">
            <v>Mức độ hoàn thiện &amp; triển khai ứng dụng hệ thống thông tin &amp; truyền thông nội bộ</v>
          </cell>
          <cell r="AA94" t="str">
            <v>Mức độ triển khai phần mềm quản lý chất lượng</v>
          </cell>
          <cell r="AB94" t="str">
            <v>Số lượng các module/ quy trình tác nghiệp (CRM, HRM…) được online</v>
          </cell>
          <cell r="AF94" t="str">
            <v>Mức độ triển khai hệ thống CRM Số lượng quy trình nghiệp vụ tác nghiệp được online hóa</v>
          </cell>
          <cell r="AG94" t="str">
            <v>-Mức độ triển khai hệ thống CRM- Số lượng quy trình nghiệp vụ tác nghiệp được online hóa</v>
          </cell>
          <cell r="AH94" t="str">
            <v>-Mức độ triển khai bài toán kế toán online</v>
          </cell>
          <cell r="AI94" t="str">
            <v>Quy trình cung cấp dịch vụ IDC với các đơn vị nội bộ được online hóa trên hệ thống</v>
          </cell>
          <cell r="AJ94" t="str">
            <v>Mức độ triển khai bài toán kế toán online</v>
          </cell>
          <cell r="AK94" t="str">
            <v>Mức độ triển khai bài toán kế toán online</v>
          </cell>
          <cell r="AL94" t="str">
            <v>Mức độ triển khai bài toán kế toán online</v>
          </cell>
        </row>
        <row r="95">
          <cell r="E95" t="str">
            <v>L33</v>
          </cell>
          <cell r="F95" t="str">
            <v>Tiến độ và chất lượng báo cáo theo quy định</v>
          </cell>
          <cell r="I95">
            <v>90</v>
          </cell>
          <cell r="J95" t="str">
            <v>%</v>
          </cell>
          <cell r="K95" t="str">
            <v>Quý</v>
          </cell>
          <cell r="L95" t="str">
            <v>Giao Q4</v>
          </cell>
          <cell r="M95" t="str">
            <v>Ban Chất lượng</v>
          </cell>
          <cell r="N95" t="str">
            <v>Ban Chất lượng</v>
          </cell>
          <cell r="O95" t="str">
            <v>KQTH=100%*∑(L331+L332)/(5*Tổng số báo cáo)</v>
          </cell>
          <cell r="P95" t="str">
            <v xml:space="preserve">MĐHT=100%*KQTH/ Chỉ tiêu giao MĐHT tối đa 100%                    </v>
          </cell>
          <cell r="V95" t="str">
            <v>Tiến độ và chất lượng báo cáo theo quy định</v>
          </cell>
          <cell r="X95" t="str">
            <v>Tiến độ và chất lượng báo cáo theo quy định</v>
          </cell>
          <cell r="Y95" t="str">
            <v>Tiến độ và chất lượng báo cáo theo quy định</v>
          </cell>
          <cell r="Z95" t="str">
            <v>Tiến độ và chất lượng báo cáo theo quy định</v>
          </cell>
          <cell r="AA95" t="str">
            <v>Tiến độ và chất lượng báo cáo theo quy định</v>
          </cell>
          <cell r="AB95" t="str">
            <v>Tiến độ và chất lượng báo cáo theo quy định</v>
          </cell>
          <cell r="AC95" t="str">
            <v>Tiến độ và chất lượng báo cáo theo quy định ( báo cáo sản xuất kinh doanh)</v>
          </cell>
          <cell r="AD95" t="str">
            <v>Tiến độ và chất lượng báo cáo theo quy định</v>
          </cell>
          <cell r="AE95" t="str">
            <v>Tiến độ và chất lượng báo cáo theo quy định</v>
          </cell>
          <cell r="AF95" t="str">
            <v>Tiến độ và chất lượng báo cáo theo quy định</v>
          </cell>
          <cell r="AG95" t="str">
            <v>Tiến độ và chất lượng báo cáo theo quy định</v>
          </cell>
          <cell r="AH95" t="str">
            <v>Tiến độ và chất lượng báo cáo theo quy định</v>
          </cell>
          <cell r="AI95" t="str">
            <v>Tiến độ và chất lượng báo cáo theo quy định</v>
          </cell>
          <cell r="AJ95" t="str">
            <v>Tiến độ và chất lượng báo cáo theo quy định</v>
          </cell>
          <cell r="AK95" t="str">
            <v>Tiến độ và chất lượng báo cáo theo quy định</v>
          </cell>
          <cell r="AL95" t="str">
            <v>Tiến độ và chất lượng báo cáo theo quy định</v>
          </cell>
        </row>
        <row r="96">
          <cell r="E96" t="str">
            <v>L331</v>
          </cell>
          <cell r="F96" t="str">
            <v>Tiến độ gửi báo cáo</v>
          </cell>
          <cell r="I96">
            <v>2</v>
          </cell>
          <cell r="J96" t="str">
            <v>Điểm</v>
          </cell>
          <cell r="K96" t="str">
            <v>Quý</v>
          </cell>
          <cell r="L96" t="str">
            <v>Giao Q4</v>
          </cell>
          <cell r="M96" t="str">
            <v>Ban Chất lượng</v>
          </cell>
          <cell r="N96" t="str">
            <v>Ban Chất lượng</v>
          </cell>
          <cell r="O96" t="str">
            <v>Tiến độ</v>
          </cell>
          <cell r="P96" t="str">
            <v>- Đúng hạn: 2 điểm- Chậm 2 ngày so với QĐ: 1 điểm- Chậm &gt;2 ngày so với quy định: 0 điểm</v>
          </cell>
          <cell r="V96" t="str">
            <v>Tiến độ gửi báo cáo</v>
          </cell>
          <cell r="X96" t="str">
            <v>Tiến độ gửi báo cáo</v>
          </cell>
          <cell r="Y96" t="str">
            <v>Tiến độ gửi báo cáo</v>
          </cell>
          <cell r="Z96" t="str">
            <v>Tiến độ gửi báo cáo</v>
          </cell>
          <cell r="AA96" t="str">
            <v>Tiến độ gửi báo cáo</v>
          </cell>
          <cell r="AB96" t="str">
            <v>Tiến độ gửi báo cáo</v>
          </cell>
          <cell r="AC96" t="str">
            <v>Tiến độ gửi báo cáo</v>
          </cell>
          <cell r="AD96" t="str">
            <v>Tiến độ gửi báo cáo</v>
          </cell>
          <cell r="AE96" t="str">
            <v>Tiến độ gửi báo cáo</v>
          </cell>
          <cell r="AF96" t="str">
            <v>Tiến độ gửi báo cáo</v>
          </cell>
          <cell r="AG96" t="str">
            <v>Tiến độ gửi báo cáo</v>
          </cell>
          <cell r="AH96" t="str">
            <v>Tiến độ gửi báo cáo</v>
          </cell>
          <cell r="AI96" t="str">
            <v>Tiến độ gửi báo cáo</v>
          </cell>
          <cell r="AJ96" t="str">
            <v>Tiến độ gửi báo cáo</v>
          </cell>
          <cell r="AK96" t="str">
            <v>Tiến độ gửi báo cáo</v>
          </cell>
          <cell r="AL96" t="str">
            <v>Tiến độ gửi báo cáo</v>
          </cell>
        </row>
        <row r="97">
          <cell r="E97" t="str">
            <v>L332</v>
          </cell>
          <cell r="F97" t="str">
            <v>Chất lượng/ số liệu báo cáo</v>
          </cell>
          <cell r="I97">
            <v>3</v>
          </cell>
          <cell r="J97" t="str">
            <v>Điểm</v>
          </cell>
          <cell r="K97" t="str">
            <v>Quý</v>
          </cell>
          <cell r="L97" t="str">
            <v>Giao Q4</v>
          </cell>
          <cell r="M97" t="str">
            <v>Ban Chất lượng</v>
          </cell>
          <cell r="N97" t="str">
            <v>Ban Chất lượng</v>
          </cell>
          <cell r="O97" t="str">
            <v>Chất lượng</v>
          </cell>
          <cell r="P97" t="str">
            <v>-Đầy đủ số liệu theo biểu mẫu quy định và chất lượng báo cáo tốt : 3 điểm- Báo cáo đầy đủ số liệu: 2 điểm- Báo cáo không đầy đủ số liệu: 0 điểm</v>
          </cell>
          <cell r="Q97" t="str">
            <v xml:space="preserve">Chất lượng báo cáo tốt đáp ứng 2 yêu cầu:- Báo cáo không phải sửa lại số liệu so với báo cáo lần đầu, nộp số liệu báo cáo không được chậm hơn 2 ngày so với QĐ. </v>
          </cell>
          <cell r="V97" t="str">
            <v>Chất lượng/ số liệu báo cáo</v>
          </cell>
          <cell r="X97" t="str">
            <v>Chất lượng/ số liệu báo cáo</v>
          </cell>
          <cell r="Y97" t="str">
            <v>Chất lượng/ số liệu báo cáo</v>
          </cell>
          <cell r="Z97" t="str">
            <v>Chất lượng/ số liệu báo cáo</v>
          </cell>
          <cell r="AA97" t="str">
            <v>Chất lượng/ số liệu báo cáo</v>
          </cell>
          <cell r="AB97" t="str">
            <v>Chất lượng/ số liệu báo cáo</v>
          </cell>
          <cell r="AC97" t="str">
            <v>Chất lượng/ số liệu báo cáo</v>
          </cell>
          <cell r="AD97" t="str">
            <v>Chất lượng/ số liệu báo cáo</v>
          </cell>
          <cell r="AE97" t="str">
            <v>Chất lượng/ số liệu báo cáo</v>
          </cell>
          <cell r="AF97" t="str">
            <v>Chất lượng/ số liệu báo cáo</v>
          </cell>
          <cell r="AG97" t="str">
            <v>Chất lượng/ số liệu báo cáo</v>
          </cell>
          <cell r="AH97" t="str">
            <v>Chất lượng/ số liệu báo cáo</v>
          </cell>
          <cell r="AI97" t="str">
            <v>Chất lượng/ số liệu báo cáo</v>
          </cell>
          <cell r="AJ97" t="str">
            <v>Chất lượng/ số liệu báo cáo</v>
          </cell>
          <cell r="AK97" t="str">
            <v>Chất lượng/ số liệu báo cáo</v>
          </cell>
          <cell r="AL97" t="str">
            <v>Chất lượng/ số liệu báo cáo</v>
          </cell>
        </row>
        <row r="98">
          <cell r="G98">
            <v>0.15000000000000002</v>
          </cell>
        </row>
        <row r="99">
          <cell r="F99">
            <v>89</v>
          </cell>
          <cell r="G99">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VI"/>
      <sheetName val="HDONG"/>
      <sheetName val="DSNV"/>
      <sheetName val="NVTVIEC"/>
      <sheetName val="ld tang"/>
      <sheetName val="XL4Poppy"/>
    </sheetNames>
    <sheetDataSet>
      <sheetData sheetId="0" refreshError="1">
        <row r="6">
          <cell r="B6" t="str">
            <v>BD</v>
          </cell>
          <cell r="C6" t="str">
            <v>Ban giaïm âäúc</v>
          </cell>
        </row>
        <row r="7">
          <cell r="B7" t="str">
            <v>BV</v>
          </cell>
          <cell r="C7" t="str">
            <v>Täø baío vãû</v>
          </cell>
        </row>
        <row r="8">
          <cell r="B8" t="str">
            <v>TO</v>
          </cell>
          <cell r="C8" t="str">
            <v>Phoìng täø chæïc</v>
          </cell>
        </row>
        <row r="9">
          <cell r="B9" t="str">
            <v>TV</v>
          </cell>
          <cell r="C9" t="str">
            <v>Phoìng kãú toaïn</v>
          </cell>
        </row>
        <row r="10">
          <cell r="B10" t="str">
            <v>TT</v>
          </cell>
          <cell r="C10" t="str">
            <v>Phoìng thë træåìng</v>
          </cell>
        </row>
        <row r="11">
          <cell r="B11" t="str">
            <v>KD</v>
          </cell>
          <cell r="C11" t="str">
            <v>Phoìng kinh doanh</v>
          </cell>
        </row>
        <row r="12">
          <cell r="B12" t="str">
            <v>VT</v>
          </cell>
          <cell r="C12" t="str">
            <v>Phoìng váût tæ</v>
          </cell>
        </row>
        <row r="13">
          <cell r="B13" t="str">
            <v>NK</v>
          </cell>
          <cell r="C13" t="str">
            <v>Phoìng xnk</v>
          </cell>
        </row>
        <row r="14">
          <cell r="B14" t="str">
            <v>KH</v>
          </cell>
          <cell r="C14" t="str">
            <v>Phoìng kãú hoaûch</v>
          </cell>
        </row>
        <row r="15">
          <cell r="B15" t="str">
            <v>RD</v>
          </cell>
          <cell r="C15" t="str">
            <v>Phoìng NC &amp; PT</v>
          </cell>
        </row>
        <row r="16">
          <cell r="B16" t="str">
            <v>BT</v>
          </cell>
          <cell r="C16" t="str">
            <v>Âäüi baío trç</v>
          </cell>
        </row>
        <row r="17">
          <cell r="B17" t="str">
            <v>KT</v>
          </cell>
          <cell r="C17" t="str">
            <v>Phoìng kyî thuáût</v>
          </cell>
        </row>
        <row r="18">
          <cell r="B18" t="str">
            <v>KS</v>
          </cell>
          <cell r="C18" t="str">
            <v>Phoìng KCS</v>
          </cell>
        </row>
        <row r="19">
          <cell r="B19" t="str">
            <v>CD</v>
          </cell>
          <cell r="C19" t="str">
            <v>Xæåíng cå âiãûn</v>
          </cell>
        </row>
        <row r="20">
          <cell r="B20" t="str">
            <v>PN</v>
          </cell>
          <cell r="C20" t="str">
            <v>Xæåíng Panel</v>
          </cell>
        </row>
        <row r="21">
          <cell r="B21" t="str">
            <v>PM</v>
          </cell>
          <cell r="C21" t="str">
            <v>Täø PM</v>
          </cell>
        </row>
        <row r="22">
          <cell r="B22" t="str">
            <v>D1</v>
          </cell>
          <cell r="C22" t="str">
            <v>Âäüi thi cäng 01</v>
          </cell>
        </row>
        <row r="23">
          <cell r="B23" t="str">
            <v>D2</v>
          </cell>
          <cell r="C23" t="str">
            <v>Âäüi thi cäng 02</v>
          </cell>
        </row>
        <row r="24">
          <cell r="B24" t="str">
            <v>D3</v>
          </cell>
          <cell r="C24" t="str">
            <v>Âäüi thi cäng säú 03</v>
          </cell>
        </row>
        <row r="25">
          <cell r="B25" t="str">
            <v>D4</v>
          </cell>
          <cell r="C25" t="str">
            <v>Âäüi thi cäng säú 04</v>
          </cell>
        </row>
        <row r="26">
          <cell r="B26" t="str">
            <v>D5</v>
          </cell>
          <cell r="C26" t="str">
            <v>Âäüi thi cäng säú 05</v>
          </cell>
        </row>
        <row r="27">
          <cell r="B27" t="str">
            <v>D6</v>
          </cell>
          <cell r="C27" t="str">
            <v>Âäüi thi cäng säú 06</v>
          </cell>
        </row>
        <row r="28">
          <cell r="B28" t="str">
            <v>D7</v>
          </cell>
          <cell r="C28" t="str">
            <v>Âäüi thi cäng säú 07</v>
          </cell>
        </row>
        <row r="29">
          <cell r="B29" t="str">
            <v>D8</v>
          </cell>
          <cell r="C29" t="str">
            <v>Âäüi thi cäng säú 08</v>
          </cell>
        </row>
        <row r="30">
          <cell r="B30" t="str">
            <v>D9</v>
          </cell>
          <cell r="C30" t="str">
            <v>Âäüi thi cäng säú 09</v>
          </cell>
        </row>
        <row r="31">
          <cell r="B31" t="str">
            <v>CT</v>
          </cell>
          <cell r="C31" t="str">
            <v>Nv CT</v>
          </cell>
        </row>
        <row r="32">
          <cell r="B32" t="str">
            <v>GS</v>
          </cell>
          <cell r="C32" t="str">
            <v>G.s CT</v>
          </cell>
        </row>
        <row r="33">
          <cell r="B33" t="str">
            <v>CN</v>
          </cell>
          <cell r="C33" t="str">
            <v>Cn.Ct</v>
          </cell>
        </row>
        <row r="34">
          <cell r="B34" t="str">
            <v>BC</v>
          </cell>
          <cell r="C34" t="str">
            <v>CT Bitexco</v>
          </cell>
        </row>
        <row r="35">
          <cell r="B35" t="str">
            <v>PC</v>
          </cell>
          <cell r="C35" t="str">
            <v>CT Phapharco</v>
          </cell>
        </row>
      </sheetData>
      <sheetData sheetId="1" refreshError="1"/>
      <sheetData sheetId="2"/>
      <sheetData sheetId="3"/>
      <sheetData sheetId="4" refreshError="1"/>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danh gia ca nhan"/>
      <sheetName val="Danh gia NL cot loi ca nhan"/>
      <sheetName val="Danh gia NL chuyen mon ca nhan"/>
      <sheetName val="Chuan NLCM"/>
      <sheetName val="Chuan vi tri"/>
      <sheetName val="Hướng dẫn chung"/>
      <sheetName val="DONVI"/>
      <sheetName val="HDONG"/>
    </sheetNames>
    <sheetDataSet>
      <sheetData sheetId="0" refreshError="1"/>
      <sheetData sheetId="1" refreshError="1"/>
      <sheetData sheetId="2" refreshError="1">
        <row r="5">
          <cell r="C5" t="str">
            <v>Nguyễn Chu Sơn</v>
          </cell>
          <cell r="D5" t="str">
            <v>Cao Ngọc Hà</v>
          </cell>
          <cell r="E5" t="str">
            <v>Nguyễn Thị Thanh Thủy</v>
          </cell>
          <cell r="F5" t="str">
            <v>Nguyễn Đức Thắng</v>
          </cell>
          <cell r="G5" t="str">
            <v>Nguyễn Thị Linh</v>
          </cell>
          <cell r="H5" t="str">
            <v>Trần Đức Mạnh</v>
          </cell>
          <cell r="I5" t="str">
            <v>Nguyễn Tuấn Anh</v>
          </cell>
          <cell r="J5" t="str">
            <v>Mạc Thành Long</v>
          </cell>
          <cell r="K5" t="str">
            <v>Trần Cao Thắng</v>
          </cell>
          <cell r="L5" t="str">
            <v>Vũ Hữu Định</v>
          </cell>
          <cell r="M5" t="str">
            <v>Ngô Đức Hùng</v>
          </cell>
          <cell r="N5" t="str">
            <v>Vũ Mạnh Thắng</v>
          </cell>
          <cell r="O5" t="str">
            <v>Phạm Quang Thể</v>
          </cell>
          <cell r="P5" t="str">
            <v>Phí Thị Liên</v>
          </cell>
        </row>
        <row r="6">
          <cell r="C6">
            <v>5</v>
          </cell>
          <cell r="D6">
            <v>5</v>
          </cell>
        </row>
        <row r="12">
          <cell r="C12">
            <v>4</v>
          </cell>
          <cell r="D12">
            <v>4</v>
          </cell>
          <cell r="F12">
            <v>3</v>
          </cell>
          <cell r="G12">
            <v>3</v>
          </cell>
          <cell r="H12">
            <v>2</v>
          </cell>
          <cell r="L12">
            <v>3</v>
          </cell>
          <cell r="M12">
            <v>3</v>
          </cell>
          <cell r="N12">
            <v>3</v>
          </cell>
          <cell r="O12">
            <v>3</v>
          </cell>
          <cell r="P12">
            <v>3</v>
          </cell>
        </row>
        <row r="18">
          <cell r="E18">
            <v>4</v>
          </cell>
          <cell r="J18">
            <v>4</v>
          </cell>
          <cell r="K18">
            <v>4</v>
          </cell>
        </row>
        <row r="24">
          <cell r="C24">
            <v>5</v>
          </cell>
          <cell r="D24">
            <v>5</v>
          </cell>
          <cell r="F24">
            <v>4</v>
          </cell>
          <cell r="G24">
            <v>3</v>
          </cell>
          <cell r="L24">
            <v>3</v>
          </cell>
          <cell r="M24">
            <v>3</v>
          </cell>
          <cell r="N24">
            <v>3</v>
          </cell>
          <cell r="O24">
            <v>3</v>
          </cell>
          <cell r="P24">
            <v>3</v>
          </cell>
        </row>
        <row r="30">
          <cell r="C30">
            <v>4</v>
          </cell>
          <cell r="D30">
            <v>4</v>
          </cell>
          <cell r="F30">
            <v>3</v>
          </cell>
          <cell r="G30">
            <v>3</v>
          </cell>
          <cell r="L30">
            <v>3</v>
          </cell>
          <cell r="M30">
            <v>3</v>
          </cell>
          <cell r="N30">
            <v>3</v>
          </cell>
          <cell r="O30">
            <v>3</v>
          </cell>
          <cell r="P30">
            <v>3</v>
          </cell>
        </row>
        <row r="36">
          <cell r="C36">
            <v>5</v>
          </cell>
          <cell r="D36">
            <v>5</v>
          </cell>
          <cell r="F36">
            <v>3</v>
          </cell>
          <cell r="G36">
            <v>3</v>
          </cell>
          <cell r="L36">
            <v>3</v>
          </cell>
          <cell r="M36">
            <v>3</v>
          </cell>
          <cell r="N36">
            <v>3</v>
          </cell>
          <cell r="O36">
            <v>3</v>
          </cell>
          <cell r="P36">
            <v>3</v>
          </cell>
        </row>
        <row r="42">
          <cell r="F42">
            <v>4</v>
          </cell>
          <cell r="G42">
            <v>4</v>
          </cell>
          <cell r="L42">
            <v>3</v>
          </cell>
          <cell r="M42">
            <v>3</v>
          </cell>
          <cell r="N42">
            <v>3</v>
          </cell>
          <cell r="O42">
            <v>3</v>
          </cell>
          <cell r="P42">
            <v>3</v>
          </cell>
        </row>
        <row r="49">
          <cell r="C49">
            <v>4</v>
          </cell>
          <cell r="F49">
            <v>3</v>
          </cell>
          <cell r="G49">
            <v>1</v>
          </cell>
          <cell r="I49">
            <v>5</v>
          </cell>
          <cell r="J49">
            <v>4</v>
          </cell>
          <cell r="K49">
            <v>4</v>
          </cell>
        </row>
        <row r="55">
          <cell r="C55">
            <v>4</v>
          </cell>
          <cell r="F55">
            <v>3</v>
          </cell>
          <cell r="G55">
            <v>3</v>
          </cell>
          <cell r="I55">
            <v>3</v>
          </cell>
          <cell r="J55">
            <v>4</v>
          </cell>
          <cell r="K55">
            <v>4</v>
          </cell>
        </row>
        <row r="61">
          <cell r="C61">
            <v>5</v>
          </cell>
          <cell r="F61">
            <v>4</v>
          </cell>
          <cell r="G61">
            <v>4</v>
          </cell>
        </row>
        <row r="67">
          <cell r="C67">
            <v>4</v>
          </cell>
          <cell r="F67">
            <v>3</v>
          </cell>
          <cell r="G67">
            <v>3</v>
          </cell>
        </row>
        <row r="73">
          <cell r="C73">
            <v>4.4444444444444446</v>
          </cell>
          <cell r="D73">
            <v>4.5999999999999996</v>
          </cell>
          <cell r="E73">
            <v>4</v>
          </cell>
          <cell r="F73">
            <v>3.3333333333333335</v>
          </cell>
          <cell r="G73">
            <v>3</v>
          </cell>
          <cell r="H73">
            <v>2</v>
          </cell>
          <cell r="I73">
            <v>4</v>
          </cell>
          <cell r="J73">
            <v>4</v>
          </cell>
          <cell r="K73">
            <v>4</v>
          </cell>
          <cell r="L73">
            <v>3</v>
          </cell>
          <cell r="M73">
            <v>3</v>
          </cell>
          <cell r="N73">
            <v>3</v>
          </cell>
          <cell r="O73">
            <v>3</v>
          </cell>
          <cell r="P73">
            <v>3</v>
          </cell>
        </row>
      </sheetData>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km248"/>
      <sheetName val="142201-T1-th"/>
      <sheetName val="142201-T1 "/>
      <sheetName val="142201-T2-th "/>
      <sheetName val="142201-T2"/>
      <sheetName val="142201-T3-th "/>
      <sheetName val="142201-T3"/>
      <sheetName val="142201-T4-th  "/>
      <sheetName val="142201-T4"/>
      <sheetName val="142201-T6"/>
      <sheetName val="142201-T10"/>
      <sheetName val="TBA"/>
      <sheetName val="Netbook"/>
      <sheetName val="DZ"/>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Thep be"/>
      <sheetName val="Thep than"/>
      <sheetName val="Thep xa mu"/>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10000000"/>
      <sheetName val="Song trai"/>
      <sheetName val="Dinh+ha nha"/>
      <sheetName val="PTLK"/>
      <sheetName val="NG k"/>
      <sheetName val="THcong"/>
      <sheetName val="BHXH"/>
      <sheetName val="BHXH12"/>
      <sheetName val="Sheet8"/>
      <sheetName val="Sheet9"/>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CamPha"/>
      <sheetName val="MongCai"/>
      <sheetName val="20000000"/>
      <sheetName val="30000000"/>
      <sheetName val="40000000"/>
      <sheetName val="50000000"/>
      <sheetName val="60000000"/>
      <sheetName val="70000000"/>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TH"/>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Trich Ngang"/>
      <sheetName val="Danh sach Rieng"/>
      <sheetName val="Dia Diem Thuc Tap"/>
      <sheetName val="De Tai Thuc Tap"/>
      <sheetName val="Sheet6"/>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KM"/>
      <sheetName val="KHOANMUC"/>
      <sheetName val="QTNC"/>
      <sheetName val="CPQL"/>
      <sheetName val="SANLUONG"/>
      <sheetName val="SSCP-SL"/>
      <sheetName val="CPSX"/>
      <sheetName val="KQKD"/>
      <sheetName val="CDSL (2)"/>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0"/>
      <sheetName val="t11"/>
      <sheetName val="t12"/>
      <sheetName val="0103"/>
      <sheetName val="0203"/>
      <sheetName val="th-nop"/>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HTSCD1"/>
      <sheetName val="KHTSCD2"/>
      <sheetName val="SoCaiTM"/>
      <sheetName val="NK"/>
      <sheetName val="PhieuKT"/>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CV di trong  dong"/>
      <sheetName val="Congty"/>
      <sheetName val="VPPN"/>
      <sheetName val="XN74"/>
      <sheetName val="XN54"/>
      <sheetName val="XN33"/>
      <sheetName val="NK96"/>
      <sheetName val="XL4Test5"/>
      <sheetName val="socai2003-6tc"/>
      <sheetName val="SCT Cong trinh"/>
      <sheetName val="06-2003 (2)"/>
      <sheetName val="CDPS 6tc"/>
      <sheetName val="SCT Nha thau"/>
      <sheetName val="socai2003 (6tc)dp"/>
      <sheetName val="socai2003 (6tc)"/>
      <sheetName val="CDPS 6tc (2)"/>
      <sheetName val="tb1"/>
      <sheetName val="Thau"/>
      <sheetName val="CT-BT"/>
      <sheetName val="Xa"/>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Tonghop"/>
      <sheetName val="Sheet7"/>
      <sheetName val="Thi_sinh"/>
      <sheetName val="Luong"/>
      <sheetName val="HethongDebai"/>
      <sheetName val="TH131"/>
      <sheetName val="TH155&amp;156"/>
      <sheetName val="TH152"/>
      <sheetName val="TH153"/>
      <sheetName val="TH331"/>
      <sheetName val="KhoDL"/>
      <sheetName val="THSPHH"/>
      <sheetName val="THVL"/>
      <sheetName val="Chamcong"/>
      <sheetName val="DMTK"/>
      <sheetName val="DMKH"/>
      <sheetName val="DMNB"/>
      <sheetName val="DMNV"/>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IBASE2.XLSѝTNHNoi"/>
      <sheetName val="Sheet10"/>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THVDT"/>
      <sheetName val="NCLD"/>
      <sheetName val="MMTB"/>
      <sheetName val="CFSX"/>
      <sheetName val="KQ"/>
      <sheetName val="DTSL"/>
      <sheetName val="XDCBK"/>
      <sheetName val="KHTSCD"/>
      <sheetName val="XDCB"/>
      <sheetName val="F ThanhTri"/>
      <sheetName val="F Gialam"/>
      <sheetName val="DG"/>
      <sheetName val="TH dam"/>
      <sheetName val="SX dam"/>
      <sheetName val="LD dam"/>
      <sheetName val="Bang gia VL"/>
      <sheetName val="Gia NC"/>
      <sheetName val="Gia may"/>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kedotuoi"/>
      <sheetName val="Tkebactho"/>
      <sheetName val="nhan su"/>
      <sheetName val="2020"/>
      <sheetName val="luong cty"/>
      <sheetName val="bangluong"/>
      <sheetName val="Tkecong"/>
      <sheetName val="thunhap03"/>
      <sheetName val="thungoaiSCTX"/>
      <sheetName val="TRICH73"/>
      <sheetName val="HD1"/>
      <sheetName val="HD4"/>
      <sheetName val="HD3"/>
      <sheetName val="HD5"/>
      <sheetName val="HD7"/>
      <sheetName val="HD6"/>
      <sheetName val="HD2"/>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D1"/>
      <sheetName val="D2"/>
      <sheetName val="D3"/>
      <sheetName val="D4"/>
      <sheetName val="D5"/>
      <sheetName val="D6"/>
      <sheetName val="Tay ninh"/>
      <sheetName val="A.Duc"/>
      <sheetName val="TH2003"/>
      <sheetName val="phan tich DG"/>
      <sheetName val="gia vat lieu"/>
      <sheetName val="gia xe may"/>
      <sheetName val="gia nhan cong"/>
      <sheetName val="XXXXXX_xda24_X"/>
      <sheetName val="HHVt "/>
      <sheetName val="Co~g hop 1,5x1,5"/>
      <sheetName val="TH du toan "/>
      <sheetName val="Du toan "/>
      <sheetName val="C.Tinh"/>
      <sheetName val="TK_cap"/>
      <sheetName val="cn"/>
      <sheetName val="ct"/>
      <sheetName val="Nc"/>
      <sheetName val="pt"/>
      <sheetName val="ql"/>
      <sheetName val="ql (2)"/>
      <sheetName val="4"/>
      <sheetName val="Sheet13"/>
      <sheetName val="Sheet14"/>
      <sheetName val="Sheet15"/>
      <sheetName val="Sheet16"/>
      <sheetName val="CT 03"/>
      <sheetName val="TH 03"/>
      <sheetName val="Heso 3-2004 (3)"/>
      <sheetName val="Luong (2)"/>
      <sheetName val="heso T3"/>
      <sheetName val="heso T4"/>
      <sheetName val="heso T5"/>
      <sheetName val="Heso T6"/>
      <sheetName val="Heso T7"/>
      <sheetName val="Heso T8"/>
      <sheetName val="Heso T9"/>
      <sheetName val="Heso 2-2004"/>
      <sheetName val="Heso 3-2004"/>
      <sheetName val="Baocao"/>
      <sheetName val="Heso 3-2004 (2)"/>
      <sheetName val="BangTH"/>
      <sheetName val="Xaylap "/>
      <sheetName val="Nhan cong"/>
      <sheetName val="Thietbi"/>
      <sheetName val="Diengiai"/>
      <sheetName val="Vanchuyen"/>
      <sheetName val="Km282-Km_x0003__x0000_3"/>
      <sheetName val="TH_BQ"/>
      <sheetName val="GIA NUOC"/>
      <sheetName val="GIA DIEN THOAI"/>
      <sheetName val="GIA DIEN"/>
      <sheetName val="chiet tinh XD"/>
      <sheetName val="Triet T"/>
      <sheetName val="Phan tich gia"/>
      <sheetName val="pHAN CONG"/>
      <sheetName val="GIA XD"/>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K H.T.T5"/>
      <sheetName val="T.K T7"/>
      <sheetName val="TK T6"/>
      <sheetName val="T.K T5"/>
      <sheetName val="Bang thong ke hang ton"/>
      <sheetName val="thong ke "/>
      <sheetName val="T.KT04"/>
      <sheetName val=" KQTH quy hoach 135"/>
      <sheetName val="Bao cao KQTH quy hoach 135"/>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T8-9)"/>
      <sheetName val="Nhap lieu"/>
      <sheetName val="PGT"/>
      <sheetName val="Tien dien"/>
      <sheetName val="Thue GTGT"/>
      <sheetName val="Km282-Km_x0003_3"/>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H104" t="str">
            <v>1656</v>
          </cell>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K110" t="str">
            <v>1018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refreshError="1"/>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sheetData sheetId="73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Giao"/>
      <sheetName val="CHIET TINH"/>
      <sheetName val="Bang gia Ca May"/>
      <sheetName val="Bang Gia VL"/>
      <sheetName val="Tong Hop KP"/>
      <sheetName val=" DON GIA"/>
      <sheetName val="CHIET TINH THEO KH.SAT"/>
      <sheetName val="XL4Poppy"/>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cell>
          <cell r="F6">
            <v>0</v>
          </cell>
          <cell r="G6">
            <v>0</v>
          </cell>
          <cell r="H6">
            <v>0</v>
          </cell>
          <cell r="I6">
            <v>0</v>
          </cell>
          <cell r="J6">
            <v>0</v>
          </cell>
          <cell r="K6">
            <v>0</v>
          </cell>
          <cell r="L6">
            <v>0</v>
          </cell>
          <cell r="M6">
            <v>0</v>
          </cell>
          <cell r="N6">
            <v>0</v>
          </cell>
          <cell r="O6">
            <v>0</v>
          </cell>
          <cell r="P6">
            <v>0</v>
          </cell>
          <cell r="Q6">
            <v>0</v>
          </cell>
          <cell r="R6">
            <v>0</v>
          </cell>
          <cell r="S6">
            <v>0</v>
          </cell>
          <cell r="T6" t="str">
            <v/>
          </cell>
          <cell r="U6" t="str">
            <v/>
          </cell>
        </row>
        <row r="7">
          <cell r="A7">
            <v>2</v>
          </cell>
          <cell r="B7">
            <v>0.75</v>
          </cell>
          <cell r="E7" t="str">
            <v/>
          </cell>
          <cell r="F7">
            <v>0</v>
          </cell>
          <cell r="G7">
            <v>0</v>
          </cell>
          <cell r="H7">
            <v>0</v>
          </cell>
          <cell r="I7">
            <v>0</v>
          </cell>
          <cell r="J7">
            <v>0</v>
          </cell>
          <cell r="K7">
            <v>0</v>
          </cell>
          <cell r="L7">
            <v>0</v>
          </cell>
          <cell r="M7">
            <v>0</v>
          </cell>
          <cell r="N7">
            <v>0</v>
          </cell>
          <cell r="O7">
            <v>0</v>
          </cell>
          <cell r="P7">
            <v>0</v>
          </cell>
          <cell r="Q7">
            <v>0</v>
          </cell>
          <cell r="R7">
            <v>0</v>
          </cell>
          <cell r="S7">
            <v>0</v>
          </cell>
          <cell r="T7" t="str">
            <v/>
          </cell>
          <cell r="U7" t="str">
            <v/>
          </cell>
        </row>
        <row r="8">
          <cell r="A8">
            <v>3</v>
          </cell>
          <cell r="B8">
            <v>1</v>
          </cell>
          <cell r="E8" t="str">
            <v/>
          </cell>
          <cell r="F8">
            <v>0</v>
          </cell>
          <cell r="G8">
            <v>0</v>
          </cell>
          <cell r="H8">
            <v>0</v>
          </cell>
          <cell r="I8">
            <v>0</v>
          </cell>
          <cell r="J8">
            <v>0</v>
          </cell>
          <cell r="K8">
            <v>0</v>
          </cell>
          <cell r="L8">
            <v>0</v>
          </cell>
          <cell r="M8">
            <v>0</v>
          </cell>
          <cell r="N8">
            <v>0</v>
          </cell>
          <cell r="O8">
            <v>0</v>
          </cell>
          <cell r="P8">
            <v>0</v>
          </cell>
          <cell r="Q8">
            <v>0</v>
          </cell>
          <cell r="R8">
            <v>0</v>
          </cell>
          <cell r="S8">
            <v>0</v>
          </cell>
          <cell r="T8" t="str">
            <v/>
          </cell>
          <cell r="U8" t="str">
            <v/>
          </cell>
        </row>
        <row r="9">
          <cell r="A9">
            <v>4</v>
          </cell>
          <cell r="B9">
            <v>1.5</v>
          </cell>
          <cell r="E9" t="str">
            <v/>
          </cell>
          <cell r="F9">
            <v>0</v>
          </cell>
          <cell r="G9">
            <v>0</v>
          </cell>
          <cell r="H9">
            <v>0</v>
          </cell>
          <cell r="I9">
            <v>0</v>
          </cell>
          <cell r="J9">
            <v>0</v>
          </cell>
          <cell r="K9">
            <v>0</v>
          </cell>
          <cell r="L9">
            <v>0</v>
          </cell>
          <cell r="M9">
            <v>0</v>
          </cell>
          <cell r="N9">
            <v>0</v>
          </cell>
          <cell r="O9">
            <v>0</v>
          </cell>
          <cell r="P9">
            <v>0</v>
          </cell>
          <cell r="Q9">
            <v>0</v>
          </cell>
          <cell r="R9">
            <v>0</v>
          </cell>
          <cell r="S9">
            <v>0</v>
          </cell>
          <cell r="T9" t="str">
            <v/>
          </cell>
          <cell r="U9" t="str">
            <v/>
          </cell>
        </row>
        <row r="10">
          <cell r="A10">
            <v>5</v>
          </cell>
          <cell r="B10">
            <v>2</v>
          </cell>
          <cell r="E10" t="str">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cell>
          <cell r="U10" t="str">
            <v/>
          </cell>
        </row>
        <row r="11">
          <cell r="A11">
            <v>6</v>
          </cell>
          <cell r="B11">
            <v>2.5</v>
          </cell>
          <cell r="E11" t="str">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cell>
          <cell r="U11" t="str">
            <v/>
          </cell>
        </row>
        <row r="12">
          <cell r="A12">
            <v>7</v>
          </cell>
          <cell r="B12">
            <v>3</v>
          </cell>
          <cell r="E12" t="str">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cell>
          <cell r="U12" t="str">
            <v/>
          </cell>
        </row>
        <row r="13">
          <cell r="A13">
            <v>8</v>
          </cell>
          <cell r="B13">
            <v>4</v>
          </cell>
          <cell r="E13" t="str">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cell>
          <cell r="U13" t="str">
            <v/>
          </cell>
        </row>
        <row r="14">
          <cell r="A14">
            <v>9</v>
          </cell>
          <cell r="B14">
            <v>5</v>
          </cell>
          <cell r="E14" t="str">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cell>
          <cell r="U14" t="str">
            <v/>
          </cell>
        </row>
        <row r="15">
          <cell r="A15">
            <v>10</v>
          </cell>
          <cell r="B15">
            <v>6</v>
          </cell>
          <cell r="E15" t="str">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cell>
          <cell r="U15" t="str">
            <v/>
          </cell>
        </row>
        <row r="16">
          <cell r="A16">
            <v>11</v>
          </cell>
          <cell r="B16">
            <v>8</v>
          </cell>
          <cell r="E16" t="str">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cell>
          <cell r="U16" t="str">
            <v/>
          </cell>
        </row>
        <row r="17">
          <cell r="A17">
            <v>12</v>
          </cell>
          <cell r="B17">
            <v>10</v>
          </cell>
          <cell r="E17" t="str">
            <v/>
          </cell>
          <cell r="F17">
            <v>0</v>
          </cell>
          <cell r="G17">
            <v>0</v>
          </cell>
          <cell r="H17">
            <v>0</v>
          </cell>
          <cell r="I17">
            <v>0</v>
          </cell>
          <cell r="J17">
            <v>0</v>
          </cell>
          <cell r="L17">
            <v>0</v>
          </cell>
          <cell r="M17">
            <v>0</v>
          </cell>
          <cell r="N17">
            <v>0</v>
          </cell>
          <cell r="O17">
            <v>0</v>
          </cell>
          <cell r="P17">
            <v>0</v>
          </cell>
          <cell r="Q17">
            <v>0</v>
          </cell>
          <cell r="R17">
            <v>0</v>
          </cell>
          <cell r="S17">
            <v>0</v>
          </cell>
          <cell r="T17" t="str">
            <v/>
          </cell>
          <cell r="U17" t="str">
            <v/>
          </cell>
        </row>
        <row r="18">
          <cell r="A18">
            <v>13</v>
          </cell>
          <cell r="B18">
            <v>12</v>
          </cell>
          <cell r="E18" t="str">
            <v/>
          </cell>
          <cell r="F18">
            <v>0</v>
          </cell>
          <cell r="G18">
            <v>0</v>
          </cell>
          <cell r="H18">
            <v>0</v>
          </cell>
          <cell r="I18">
            <v>0</v>
          </cell>
          <cell r="J18">
            <v>0</v>
          </cell>
          <cell r="L18">
            <v>0</v>
          </cell>
          <cell r="M18">
            <v>0</v>
          </cell>
          <cell r="N18">
            <v>0</v>
          </cell>
          <cell r="O18">
            <v>0</v>
          </cell>
          <cell r="P18">
            <v>0</v>
          </cell>
          <cell r="Q18">
            <v>0</v>
          </cell>
          <cell r="R18">
            <v>0</v>
          </cell>
          <cell r="S18">
            <v>0</v>
          </cell>
          <cell r="T18" t="str">
            <v/>
          </cell>
          <cell r="U18" t="str">
            <v/>
          </cell>
        </row>
        <row r="19">
          <cell r="A19">
            <v>14</v>
          </cell>
          <cell r="B19">
            <v>14</v>
          </cell>
          <cell r="E19" t="str">
            <v/>
          </cell>
          <cell r="F19">
            <v>0</v>
          </cell>
          <cell r="G19">
            <v>0</v>
          </cell>
          <cell r="H19">
            <v>0</v>
          </cell>
          <cell r="I19">
            <v>0</v>
          </cell>
          <cell r="J19">
            <v>0</v>
          </cell>
          <cell r="L19">
            <v>0</v>
          </cell>
          <cell r="M19">
            <v>0</v>
          </cell>
          <cell r="N19">
            <v>0</v>
          </cell>
          <cell r="O19">
            <v>0</v>
          </cell>
          <cell r="P19">
            <v>0</v>
          </cell>
          <cell r="Q19">
            <v>0</v>
          </cell>
          <cell r="R19">
            <v>0</v>
          </cell>
          <cell r="S19">
            <v>0</v>
          </cell>
          <cell r="T19" t="str">
            <v/>
          </cell>
          <cell r="U19" t="str">
            <v/>
          </cell>
        </row>
        <row r="20">
          <cell r="A20">
            <v>15</v>
          </cell>
          <cell r="B20">
            <v>16</v>
          </cell>
          <cell r="E20" t="str">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cell>
          <cell r="U20" t="str">
            <v/>
          </cell>
        </row>
        <row r="21">
          <cell r="A21">
            <v>16</v>
          </cell>
          <cell r="B21">
            <v>18</v>
          </cell>
          <cell r="E21" t="str">
            <v/>
          </cell>
          <cell r="F21">
            <v>0</v>
          </cell>
          <cell r="G21">
            <v>0</v>
          </cell>
          <cell r="H21">
            <v>0</v>
          </cell>
          <cell r="I21">
            <v>0</v>
          </cell>
          <cell r="J21">
            <v>0</v>
          </cell>
          <cell r="L21">
            <v>0</v>
          </cell>
          <cell r="M21">
            <v>0</v>
          </cell>
          <cell r="N21">
            <v>0</v>
          </cell>
          <cell r="O21">
            <v>0</v>
          </cell>
          <cell r="P21">
            <v>0</v>
          </cell>
          <cell r="Q21">
            <v>0</v>
          </cell>
          <cell r="R21">
            <v>0</v>
          </cell>
          <cell r="S21">
            <v>0</v>
          </cell>
          <cell r="T21" t="str">
            <v/>
          </cell>
          <cell r="U21" t="str">
            <v/>
          </cell>
        </row>
        <row r="22">
          <cell r="A22">
            <v>17</v>
          </cell>
          <cell r="B22">
            <v>20</v>
          </cell>
          <cell r="E22" t="str">
            <v/>
          </cell>
          <cell r="F22">
            <v>0</v>
          </cell>
          <cell r="G22">
            <v>0</v>
          </cell>
          <cell r="H22">
            <v>0</v>
          </cell>
          <cell r="I22">
            <v>0</v>
          </cell>
          <cell r="J22">
            <v>0</v>
          </cell>
          <cell r="L22">
            <v>0</v>
          </cell>
          <cell r="M22">
            <v>0</v>
          </cell>
          <cell r="N22">
            <v>0</v>
          </cell>
          <cell r="O22">
            <v>0</v>
          </cell>
          <cell r="P22">
            <v>0</v>
          </cell>
          <cell r="Q22">
            <v>0</v>
          </cell>
          <cell r="R22">
            <v>0</v>
          </cell>
          <cell r="S22">
            <v>0</v>
          </cell>
          <cell r="T22" t="str">
            <v/>
          </cell>
          <cell r="U22" t="str">
            <v/>
          </cell>
        </row>
        <row r="23">
          <cell r="A23">
            <v>18</v>
          </cell>
          <cell r="B23">
            <v>22</v>
          </cell>
          <cell r="E23" t="str">
            <v/>
          </cell>
          <cell r="F23">
            <v>0</v>
          </cell>
          <cell r="G23">
            <v>0</v>
          </cell>
          <cell r="H23">
            <v>0</v>
          </cell>
          <cell r="I23">
            <v>0</v>
          </cell>
          <cell r="J23">
            <v>0</v>
          </cell>
          <cell r="L23">
            <v>0</v>
          </cell>
          <cell r="M23">
            <v>0</v>
          </cell>
          <cell r="N23">
            <v>0</v>
          </cell>
          <cell r="O23">
            <v>0</v>
          </cell>
          <cell r="P23">
            <v>0</v>
          </cell>
          <cell r="Q23">
            <v>0</v>
          </cell>
          <cell r="R23">
            <v>0</v>
          </cell>
          <cell r="S23">
            <v>0</v>
          </cell>
          <cell r="T23" t="str">
            <v/>
          </cell>
          <cell r="U23" t="str">
            <v/>
          </cell>
        </row>
        <row r="24">
          <cell r="A24">
            <v>19</v>
          </cell>
          <cell r="B24">
            <v>24</v>
          </cell>
          <cell r="E24" t="str">
            <v/>
          </cell>
          <cell r="F24">
            <v>0</v>
          </cell>
          <cell r="G24">
            <v>0</v>
          </cell>
          <cell r="H24">
            <v>0</v>
          </cell>
          <cell r="I24">
            <v>0</v>
          </cell>
          <cell r="J24">
            <v>0</v>
          </cell>
          <cell r="L24">
            <v>0</v>
          </cell>
          <cell r="M24">
            <v>0</v>
          </cell>
          <cell r="N24">
            <v>0</v>
          </cell>
          <cell r="O24">
            <v>0</v>
          </cell>
          <cell r="P24">
            <v>0</v>
          </cell>
          <cell r="Q24">
            <v>0</v>
          </cell>
          <cell r="R24">
            <v>0</v>
          </cell>
          <cell r="S24">
            <v>0</v>
          </cell>
          <cell r="T24" t="str">
            <v/>
          </cell>
          <cell r="U24" t="str">
            <v/>
          </cell>
        </row>
        <row r="25">
          <cell r="A25">
            <v>20</v>
          </cell>
          <cell r="B25">
            <v>26</v>
          </cell>
          <cell r="E25" t="str">
            <v/>
          </cell>
          <cell r="F25">
            <v>0</v>
          </cell>
          <cell r="G25">
            <v>0</v>
          </cell>
          <cell r="H25">
            <v>0</v>
          </cell>
          <cell r="I25">
            <v>0</v>
          </cell>
          <cell r="J25">
            <v>0</v>
          </cell>
          <cell r="L25">
            <v>0</v>
          </cell>
          <cell r="M25">
            <v>0</v>
          </cell>
          <cell r="N25">
            <v>0</v>
          </cell>
          <cell r="O25">
            <v>0</v>
          </cell>
          <cell r="P25">
            <v>0</v>
          </cell>
          <cell r="Q25">
            <v>0</v>
          </cell>
          <cell r="R25">
            <v>0</v>
          </cell>
          <cell r="S25">
            <v>0</v>
          </cell>
          <cell r="T25" t="str">
            <v/>
          </cell>
          <cell r="U25" t="str">
            <v/>
          </cell>
        </row>
        <row r="26">
          <cell r="A26">
            <v>21</v>
          </cell>
          <cell r="B26">
            <v>28</v>
          </cell>
          <cell r="E26" t="str">
            <v/>
          </cell>
          <cell r="F26">
            <v>0</v>
          </cell>
          <cell r="G26">
            <v>0</v>
          </cell>
          <cell r="H26">
            <v>0</v>
          </cell>
          <cell r="I26">
            <v>0</v>
          </cell>
          <cell r="J26">
            <v>0</v>
          </cell>
          <cell r="L26">
            <v>0</v>
          </cell>
          <cell r="M26">
            <v>0</v>
          </cell>
          <cell r="N26">
            <v>0</v>
          </cell>
          <cell r="O26">
            <v>0</v>
          </cell>
          <cell r="P26">
            <v>0</v>
          </cell>
          <cell r="Q26">
            <v>0</v>
          </cell>
          <cell r="R26">
            <v>0</v>
          </cell>
          <cell r="S26">
            <v>0</v>
          </cell>
          <cell r="T26" t="str">
            <v/>
          </cell>
          <cell r="U26" t="str">
            <v/>
          </cell>
        </row>
        <row r="27">
          <cell r="A27">
            <v>22</v>
          </cell>
          <cell r="B27">
            <v>30</v>
          </cell>
          <cell r="E27" t="str">
            <v/>
          </cell>
          <cell r="F27">
            <v>0</v>
          </cell>
          <cell r="G27">
            <v>0</v>
          </cell>
          <cell r="H27">
            <v>0</v>
          </cell>
          <cell r="I27">
            <v>0</v>
          </cell>
          <cell r="J27">
            <v>0</v>
          </cell>
          <cell r="L27">
            <v>0</v>
          </cell>
          <cell r="M27">
            <v>0</v>
          </cell>
          <cell r="N27">
            <v>0</v>
          </cell>
          <cell r="O27">
            <v>0</v>
          </cell>
          <cell r="P27">
            <v>0</v>
          </cell>
          <cell r="Q27">
            <v>0</v>
          </cell>
          <cell r="R27">
            <v>0</v>
          </cell>
          <cell r="S27">
            <v>0</v>
          </cell>
          <cell r="T27" t="str">
            <v/>
          </cell>
          <cell r="U27" t="str">
            <v/>
          </cell>
        </row>
        <row r="28">
          <cell r="A28">
            <v>23</v>
          </cell>
          <cell r="B28">
            <v>32</v>
          </cell>
          <cell r="E28" t="str">
            <v/>
          </cell>
          <cell r="F28">
            <v>0</v>
          </cell>
          <cell r="G28">
            <v>0</v>
          </cell>
          <cell r="H28">
            <v>0</v>
          </cell>
          <cell r="I28">
            <v>0</v>
          </cell>
          <cell r="J28">
            <v>0</v>
          </cell>
          <cell r="L28">
            <v>0</v>
          </cell>
          <cell r="M28">
            <v>0</v>
          </cell>
          <cell r="N28">
            <v>0</v>
          </cell>
          <cell r="O28">
            <v>0</v>
          </cell>
          <cell r="P28">
            <v>0</v>
          </cell>
          <cell r="Q28">
            <v>0</v>
          </cell>
          <cell r="R28">
            <v>0</v>
          </cell>
          <cell r="S28">
            <v>0</v>
          </cell>
          <cell r="T28" t="str">
            <v/>
          </cell>
          <cell r="U28" t="str">
            <v/>
          </cell>
        </row>
        <row r="29">
          <cell r="A29">
            <v>24</v>
          </cell>
          <cell r="B29">
            <v>34</v>
          </cell>
          <cell r="E29" t="str">
            <v/>
          </cell>
          <cell r="F29">
            <v>0</v>
          </cell>
          <cell r="G29">
            <v>0</v>
          </cell>
          <cell r="H29">
            <v>0</v>
          </cell>
          <cell r="I29">
            <v>0</v>
          </cell>
          <cell r="J29">
            <v>0</v>
          </cell>
          <cell r="L29">
            <v>0</v>
          </cell>
          <cell r="M29">
            <v>0</v>
          </cell>
          <cell r="N29">
            <v>0</v>
          </cell>
          <cell r="O29">
            <v>0</v>
          </cell>
          <cell r="P29">
            <v>0</v>
          </cell>
          <cell r="Q29">
            <v>0</v>
          </cell>
          <cell r="R29">
            <v>0</v>
          </cell>
          <cell r="S29">
            <v>0</v>
          </cell>
          <cell r="T29" t="str">
            <v/>
          </cell>
          <cell r="U29" t="str">
            <v/>
          </cell>
        </row>
        <row r="30">
          <cell r="A30">
            <v>25</v>
          </cell>
          <cell r="B30">
            <v>36</v>
          </cell>
          <cell r="E30" t="str">
            <v/>
          </cell>
          <cell r="F30">
            <v>0</v>
          </cell>
          <cell r="G30">
            <v>0</v>
          </cell>
          <cell r="H30">
            <v>0</v>
          </cell>
          <cell r="I30">
            <v>0</v>
          </cell>
          <cell r="J30">
            <v>0</v>
          </cell>
          <cell r="L30">
            <v>0</v>
          </cell>
          <cell r="M30">
            <v>0</v>
          </cell>
          <cell r="N30">
            <v>0</v>
          </cell>
          <cell r="O30">
            <v>0</v>
          </cell>
          <cell r="P30">
            <v>0</v>
          </cell>
          <cell r="Q30">
            <v>0</v>
          </cell>
          <cell r="R30">
            <v>0</v>
          </cell>
          <cell r="S30">
            <v>0</v>
          </cell>
          <cell r="T30" t="str">
            <v/>
          </cell>
          <cell r="U30" t="str">
            <v/>
          </cell>
        </row>
        <row r="31">
          <cell r="A31">
            <v>26</v>
          </cell>
          <cell r="B31">
            <v>38</v>
          </cell>
          <cell r="E31" t="str">
            <v/>
          </cell>
          <cell r="F31">
            <v>0</v>
          </cell>
          <cell r="G31">
            <v>0</v>
          </cell>
          <cell r="H31">
            <v>0</v>
          </cell>
          <cell r="I31">
            <v>0</v>
          </cell>
          <cell r="J31">
            <v>0</v>
          </cell>
          <cell r="L31">
            <v>0</v>
          </cell>
          <cell r="M31">
            <v>0</v>
          </cell>
          <cell r="N31">
            <v>0</v>
          </cell>
          <cell r="O31">
            <v>0</v>
          </cell>
          <cell r="P31">
            <v>0</v>
          </cell>
          <cell r="Q31">
            <v>0</v>
          </cell>
          <cell r="R31">
            <v>0</v>
          </cell>
          <cell r="S31">
            <v>0</v>
          </cell>
          <cell r="T31" t="str">
            <v/>
          </cell>
          <cell r="U31" t="str">
            <v/>
          </cell>
        </row>
        <row r="32">
          <cell r="A32">
            <v>27</v>
          </cell>
          <cell r="B32">
            <v>40</v>
          </cell>
          <cell r="E32" t="str">
            <v/>
          </cell>
          <cell r="F32">
            <v>0</v>
          </cell>
          <cell r="G32">
            <v>0</v>
          </cell>
          <cell r="H32">
            <v>0</v>
          </cell>
          <cell r="I32">
            <v>0</v>
          </cell>
          <cell r="J32">
            <v>0</v>
          </cell>
          <cell r="L32">
            <v>0</v>
          </cell>
          <cell r="M32">
            <v>0</v>
          </cell>
          <cell r="N32">
            <v>0</v>
          </cell>
          <cell r="O32">
            <v>0</v>
          </cell>
          <cell r="P32">
            <v>0</v>
          </cell>
          <cell r="Q32">
            <v>0</v>
          </cell>
          <cell r="R32">
            <v>0</v>
          </cell>
          <cell r="S32">
            <v>0</v>
          </cell>
          <cell r="T32" t="str">
            <v/>
          </cell>
          <cell r="U32" t="str">
            <v/>
          </cell>
        </row>
        <row r="33">
          <cell r="A33">
            <v>28</v>
          </cell>
          <cell r="B33">
            <v>42</v>
          </cell>
          <cell r="E33" t="str">
            <v/>
          </cell>
          <cell r="F33">
            <v>0</v>
          </cell>
          <cell r="G33">
            <v>0</v>
          </cell>
          <cell r="H33">
            <v>0</v>
          </cell>
          <cell r="I33">
            <v>0</v>
          </cell>
          <cell r="J33">
            <v>0</v>
          </cell>
          <cell r="L33">
            <v>0</v>
          </cell>
          <cell r="M33">
            <v>0</v>
          </cell>
          <cell r="N33">
            <v>0</v>
          </cell>
          <cell r="O33">
            <v>0</v>
          </cell>
          <cell r="P33">
            <v>0</v>
          </cell>
          <cell r="Q33">
            <v>0</v>
          </cell>
          <cell r="R33">
            <v>0</v>
          </cell>
          <cell r="S33">
            <v>0</v>
          </cell>
          <cell r="T33" t="str">
            <v/>
          </cell>
          <cell r="U33" t="str">
            <v/>
          </cell>
        </row>
        <row r="34">
          <cell r="A34">
            <v>29</v>
          </cell>
          <cell r="B34">
            <v>44</v>
          </cell>
          <cell r="E34" t="str">
            <v/>
          </cell>
          <cell r="F34">
            <v>0</v>
          </cell>
          <cell r="G34">
            <v>0</v>
          </cell>
          <cell r="H34">
            <v>0</v>
          </cell>
          <cell r="I34">
            <v>0</v>
          </cell>
          <cell r="J34">
            <v>0</v>
          </cell>
          <cell r="L34">
            <v>0</v>
          </cell>
          <cell r="M34">
            <v>0</v>
          </cell>
          <cell r="N34">
            <v>0</v>
          </cell>
          <cell r="O34">
            <v>0</v>
          </cell>
          <cell r="P34">
            <v>0</v>
          </cell>
          <cell r="Q34">
            <v>0</v>
          </cell>
          <cell r="R34">
            <v>0</v>
          </cell>
          <cell r="S34">
            <v>0</v>
          </cell>
          <cell r="T34" t="str">
            <v/>
          </cell>
          <cell r="U34" t="str">
            <v/>
          </cell>
        </row>
        <row r="35">
          <cell r="A35">
            <v>30</v>
          </cell>
          <cell r="B35">
            <v>46</v>
          </cell>
          <cell r="E35" t="str">
            <v/>
          </cell>
          <cell r="F35">
            <v>0</v>
          </cell>
          <cell r="G35">
            <v>0</v>
          </cell>
          <cell r="H35">
            <v>0</v>
          </cell>
          <cell r="I35">
            <v>0</v>
          </cell>
          <cell r="J35">
            <v>0</v>
          </cell>
          <cell r="L35">
            <v>0</v>
          </cell>
          <cell r="M35">
            <v>0</v>
          </cell>
          <cell r="N35">
            <v>0</v>
          </cell>
          <cell r="O35">
            <v>0</v>
          </cell>
          <cell r="P35">
            <v>0</v>
          </cell>
          <cell r="Q35">
            <v>0</v>
          </cell>
          <cell r="R35">
            <v>0</v>
          </cell>
          <cell r="S35">
            <v>0</v>
          </cell>
          <cell r="T35" t="str">
            <v/>
          </cell>
          <cell r="U35" t="str">
            <v/>
          </cell>
        </row>
        <row r="36">
          <cell r="A36">
            <v>31</v>
          </cell>
          <cell r="B36">
            <v>48</v>
          </cell>
          <cell r="E36" t="str">
            <v/>
          </cell>
          <cell r="F36">
            <v>0</v>
          </cell>
          <cell r="G36">
            <v>0</v>
          </cell>
          <cell r="H36">
            <v>0</v>
          </cell>
          <cell r="I36">
            <v>0</v>
          </cell>
          <cell r="J36">
            <v>0</v>
          </cell>
          <cell r="L36">
            <v>0</v>
          </cell>
          <cell r="M36">
            <v>0</v>
          </cell>
          <cell r="N36">
            <v>0</v>
          </cell>
          <cell r="O36">
            <v>0</v>
          </cell>
          <cell r="P36">
            <v>0</v>
          </cell>
          <cell r="Q36">
            <v>0</v>
          </cell>
          <cell r="R36">
            <v>0</v>
          </cell>
          <cell r="S36">
            <v>0</v>
          </cell>
          <cell r="T36" t="str">
            <v/>
          </cell>
          <cell r="U36" t="str">
            <v/>
          </cell>
        </row>
        <row r="37">
          <cell r="A37">
            <v>32</v>
          </cell>
          <cell r="B37">
            <v>52</v>
          </cell>
          <cell r="E37" t="str">
            <v/>
          </cell>
          <cell r="F37">
            <v>0</v>
          </cell>
          <cell r="G37">
            <v>0</v>
          </cell>
          <cell r="H37">
            <v>0</v>
          </cell>
          <cell r="I37">
            <v>0</v>
          </cell>
          <cell r="J37">
            <v>0</v>
          </cell>
          <cell r="L37">
            <v>0</v>
          </cell>
          <cell r="M37">
            <v>0</v>
          </cell>
          <cell r="N37">
            <v>0</v>
          </cell>
          <cell r="O37">
            <v>0</v>
          </cell>
          <cell r="P37">
            <v>0</v>
          </cell>
          <cell r="Q37">
            <v>0</v>
          </cell>
          <cell r="R37">
            <v>0</v>
          </cell>
          <cell r="S37">
            <v>0</v>
          </cell>
          <cell r="T37" t="str">
            <v/>
          </cell>
          <cell r="U37" t="str">
            <v/>
          </cell>
        </row>
        <row r="38">
          <cell r="A38">
            <v>33</v>
          </cell>
          <cell r="B38">
            <v>56</v>
          </cell>
          <cell r="E38" t="str">
            <v/>
          </cell>
          <cell r="F38">
            <v>0</v>
          </cell>
          <cell r="G38">
            <v>0</v>
          </cell>
          <cell r="H38">
            <v>0</v>
          </cell>
          <cell r="I38">
            <v>0</v>
          </cell>
          <cell r="J38">
            <v>0</v>
          </cell>
          <cell r="L38">
            <v>0</v>
          </cell>
          <cell r="M38">
            <v>0</v>
          </cell>
          <cell r="N38">
            <v>0</v>
          </cell>
          <cell r="O38">
            <v>0</v>
          </cell>
          <cell r="P38">
            <v>0</v>
          </cell>
          <cell r="Q38">
            <v>0</v>
          </cell>
          <cell r="R38">
            <v>0</v>
          </cell>
          <cell r="S38">
            <v>0</v>
          </cell>
          <cell r="T38" t="str">
            <v/>
          </cell>
          <cell r="U38" t="str">
            <v/>
          </cell>
        </row>
        <row r="39">
          <cell r="A39">
            <v>34</v>
          </cell>
          <cell r="B39">
            <v>60</v>
          </cell>
          <cell r="E39" t="str">
            <v/>
          </cell>
          <cell r="F39">
            <v>0</v>
          </cell>
          <cell r="G39">
            <v>0</v>
          </cell>
          <cell r="H39">
            <v>0</v>
          </cell>
          <cell r="I39">
            <v>0</v>
          </cell>
          <cell r="J39">
            <v>0</v>
          </cell>
          <cell r="L39">
            <v>0</v>
          </cell>
          <cell r="M39">
            <v>0</v>
          </cell>
          <cell r="N39">
            <v>0</v>
          </cell>
          <cell r="O39">
            <v>0</v>
          </cell>
          <cell r="P39">
            <v>0</v>
          </cell>
          <cell r="Q39">
            <v>0</v>
          </cell>
          <cell r="R39">
            <v>0</v>
          </cell>
          <cell r="S39">
            <v>0</v>
          </cell>
          <cell r="T39" t="str">
            <v/>
          </cell>
          <cell r="U39" t="str">
            <v/>
          </cell>
        </row>
        <row r="40">
          <cell r="A40">
            <v>35</v>
          </cell>
          <cell r="B40">
            <v>64</v>
          </cell>
          <cell r="E40" t="str">
            <v/>
          </cell>
          <cell r="F40">
            <v>0</v>
          </cell>
          <cell r="G40">
            <v>0</v>
          </cell>
          <cell r="H40">
            <v>0</v>
          </cell>
          <cell r="I40">
            <v>0</v>
          </cell>
          <cell r="J40">
            <v>0</v>
          </cell>
          <cell r="L40">
            <v>0</v>
          </cell>
          <cell r="M40">
            <v>0</v>
          </cell>
          <cell r="N40">
            <v>0</v>
          </cell>
          <cell r="O40">
            <v>0</v>
          </cell>
          <cell r="P40">
            <v>0</v>
          </cell>
          <cell r="Q40">
            <v>0</v>
          </cell>
          <cell r="R40">
            <v>0</v>
          </cell>
          <cell r="S40">
            <v>0</v>
          </cell>
          <cell r="T40" t="str">
            <v/>
          </cell>
          <cell r="U40" t="str">
            <v/>
          </cell>
        </row>
        <row r="41">
          <cell r="A41">
            <v>36</v>
          </cell>
          <cell r="B41">
            <v>68</v>
          </cell>
          <cell r="E41" t="str">
            <v/>
          </cell>
          <cell r="F41">
            <v>0</v>
          </cell>
          <cell r="G41">
            <v>0</v>
          </cell>
          <cell r="H41">
            <v>0</v>
          </cell>
          <cell r="I41">
            <v>0</v>
          </cell>
          <cell r="J41">
            <v>0</v>
          </cell>
          <cell r="L41">
            <v>0</v>
          </cell>
          <cell r="M41">
            <v>0</v>
          </cell>
          <cell r="N41">
            <v>0</v>
          </cell>
          <cell r="O41">
            <v>0</v>
          </cell>
          <cell r="P41">
            <v>0</v>
          </cell>
          <cell r="Q41">
            <v>0</v>
          </cell>
          <cell r="R41">
            <v>0</v>
          </cell>
          <cell r="S41">
            <v>0</v>
          </cell>
          <cell r="T41" t="str">
            <v/>
          </cell>
          <cell r="U41" t="str">
            <v/>
          </cell>
        </row>
        <row r="42">
          <cell r="A42">
            <v>37</v>
          </cell>
          <cell r="B42">
            <v>72</v>
          </cell>
          <cell r="E42" t="str">
            <v/>
          </cell>
          <cell r="F42">
            <v>0</v>
          </cell>
          <cell r="G42">
            <v>0</v>
          </cell>
          <cell r="H42">
            <v>0</v>
          </cell>
          <cell r="I42">
            <v>0</v>
          </cell>
          <cell r="J42">
            <v>0</v>
          </cell>
          <cell r="L42">
            <v>0</v>
          </cell>
          <cell r="M42">
            <v>0</v>
          </cell>
          <cell r="N42">
            <v>0</v>
          </cell>
          <cell r="O42">
            <v>0</v>
          </cell>
          <cell r="P42">
            <v>0</v>
          </cell>
          <cell r="Q42">
            <v>0</v>
          </cell>
          <cell r="R42">
            <v>0</v>
          </cell>
          <cell r="S42">
            <v>0</v>
          </cell>
          <cell r="T42" t="str">
            <v/>
          </cell>
          <cell r="U42" t="str">
            <v/>
          </cell>
        </row>
        <row r="43">
          <cell r="A43">
            <v>38</v>
          </cell>
          <cell r="B43">
            <v>76</v>
          </cell>
          <cell r="E43" t="str">
            <v/>
          </cell>
          <cell r="F43">
            <v>0</v>
          </cell>
          <cell r="G43">
            <v>0</v>
          </cell>
          <cell r="H43">
            <v>0</v>
          </cell>
          <cell r="I43">
            <v>0</v>
          </cell>
          <cell r="J43">
            <v>0</v>
          </cell>
          <cell r="L43">
            <v>0</v>
          </cell>
          <cell r="M43">
            <v>0</v>
          </cell>
          <cell r="N43">
            <v>0</v>
          </cell>
          <cell r="O43">
            <v>0</v>
          </cell>
          <cell r="P43">
            <v>0</v>
          </cell>
          <cell r="Q43">
            <v>0</v>
          </cell>
          <cell r="R43">
            <v>0</v>
          </cell>
          <cell r="S43">
            <v>0</v>
          </cell>
          <cell r="T43" t="str">
            <v/>
          </cell>
          <cell r="U43" t="str">
            <v/>
          </cell>
        </row>
        <row r="44">
          <cell r="A44">
            <v>39</v>
          </cell>
          <cell r="B44">
            <v>80</v>
          </cell>
          <cell r="E44" t="str">
            <v/>
          </cell>
          <cell r="F44">
            <v>0</v>
          </cell>
          <cell r="G44">
            <v>0</v>
          </cell>
          <cell r="H44">
            <v>0</v>
          </cell>
          <cell r="I44">
            <v>0</v>
          </cell>
          <cell r="J44">
            <v>0</v>
          </cell>
          <cell r="L44">
            <v>0</v>
          </cell>
          <cell r="M44">
            <v>0</v>
          </cell>
          <cell r="N44">
            <v>0</v>
          </cell>
          <cell r="O44">
            <v>0</v>
          </cell>
          <cell r="P44">
            <v>0</v>
          </cell>
          <cell r="Q44">
            <v>0</v>
          </cell>
          <cell r="R44">
            <v>0</v>
          </cell>
          <cell r="S44">
            <v>0</v>
          </cell>
          <cell r="T44" t="str">
            <v/>
          </cell>
          <cell r="U44" t="str">
            <v/>
          </cell>
        </row>
        <row r="45">
          <cell r="A45" t="str">
            <v>AVE.</v>
          </cell>
          <cell r="B45" t="str">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cell>
          <cell r="U45" t="str">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ế hoạch DS chi tiết NT"/>
      <sheetName val="Sheet1"/>
      <sheetName val="KH KHOAN QL"/>
      <sheetName val="KH tổng hợp"/>
      <sheetName val="KH năm"/>
      <sheetName val="Quý 3,2025"/>
      <sheetName val="KH theo mức HĐ"/>
      <sheetName val="Kế hoạch DS 2025 "/>
      <sheetName val="T12.2024"/>
      <sheetName val="T1.2025"/>
      <sheetName val="T2.2025"/>
      <sheetName val="T3.2025 "/>
      <sheetName val="T4.2025"/>
      <sheetName val="T5.2025 "/>
      <sheetName val="T6.2025"/>
      <sheetName val="T7.2025"/>
      <sheetName val="T8.2025"/>
      <sheetName val="T9.2025"/>
      <sheetName val="T10.2025"/>
      <sheetName val="T11.2025"/>
      <sheetName val="T12.2025"/>
      <sheetName val="TB thang"/>
      <sheetName val="TH LƯƠNG VÀ CP QL 2025"/>
      <sheetName val="DS đạt Từ T1-4"/>
    </sheetNames>
    <sheetDataSet>
      <sheetData sheetId="0"/>
      <sheetData sheetId="1"/>
      <sheetData sheetId="2"/>
      <sheetData sheetId="3"/>
      <sheetData sheetId="4"/>
      <sheetData sheetId="5">
        <row r="9">
          <cell r="AI9">
            <v>2206750000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ế hoạch DS chi tiết NT"/>
      <sheetName val="KH tổng hợp"/>
      <sheetName val="DS đạt từ T1-4"/>
      <sheetName val="KH năm"/>
      <sheetName val="Quý 2,2025"/>
      <sheetName val="KH theo mức HĐ"/>
      <sheetName val="T12.2024"/>
      <sheetName val="T1.2025"/>
      <sheetName val="T2.2025"/>
      <sheetName val="T3.2025 "/>
      <sheetName val="T4.2025"/>
      <sheetName val="T5.2025 "/>
      <sheetName val="T6.2025"/>
      <sheetName val="T7.2025"/>
      <sheetName val="T8.2025"/>
      <sheetName val="T9.2025"/>
      <sheetName val="T10.2025"/>
      <sheetName val="T11.2025"/>
      <sheetName val="T12.2025"/>
      <sheetName val="TB tháng"/>
      <sheetName val="TH LƯƠNG VÀ CP QL 2025"/>
      <sheetName val="Quý 2,2025 (sửa)"/>
      <sheetName val="THÁNG 4"/>
      <sheetName val="THÁNG 5"/>
      <sheetName val="THÁNG 6"/>
      <sheetName val="T6 ĐX"/>
      <sheetName val="Quý 3,2025"/>
      <sheetName val="Quý 3,2025 (2)"/>
      <sheetName val="Quý 3,2025 (3)"/>
      <sheetName val="THÁNG 7"/>
      <sheetName val="T5"/>
    </sheetNames>
    <sheetDataSet>
      <sheetData sheetId="0"/>
      <sheetData sheetId="1"/>
      <sheetData sheetId="2">
        <row r="1">
          <cell r="D1">
            <v>2</v>
          </cell>
          <cell r="AI1">
            <v>33</v>
          </cell>
          <cell r="AN1">
            <v>38</v>
          </cell>
        </row>
        <row r="3">
          <cell r="AI3">
            <v>-10680000</v>
          </cell>
          <cell r="AN3">
            <v>0</v>
          </cell>
        </row>
        <row r="4">
          <cell r="D4" t="str">
            <v>Họ và tên</v>
          </cell>
        </row>
        <row r="6">
          <cell r="AI6" t="str">
            <v>Tổng</v>
          </cell>
          <cell r="AN6" t="str">
            <v>Tổng</v>
          </cell>
        </row>
        <row r="7">
          <cell r="D7">
            <v>2</v>
          </cell>
          <cell r="AI7">
            <v>2589508809.5238099</v>
          </cell>
          <cell r="AN7">
            <v>2047815142.8571429</v>
          </cell>
        </row>
        <row r="8">
          <cell r="D8" t="str">
            <v>Phùng Văn Hải</v>
          </cell>
          <cell r="AI8">
            <v>85328809.523809522</v>
          </cell>
          <cell r="AN8">
            <v>73781857.142857134</v>
          </cell>
        </row>
        <row r="9">
          <cell r="D9" t="str">
            <v>Lê Công Thắng</v>
          </cell>
          <cell r="AI9">
            <v>23842714.285714284</v>
          </cell>
          <cell r="AN9">
            <v>37276809.523809522</v>
          </cell>
        </row>
        <row r="10">
          <cell r="D10" t="str">
            <v>Lê Văn Vân</v>
          </cell>
          <cell r="AI10">
            <v>5555428.5714285709</v>
          </cell>
          <cell r="AN10">
            <v>3820000</v>
          </cell>
        </row>
        <row r="11">
          <cell r="D11" t="str">
            <v>Nguyễn Thị Loan</v>
          </cell>
          <cell r="AI11">
            <v>90628380.952380955</v>
          </cell>
          <cell r="AN11">
            <v>31535238.095238097</v>
          </cell>
        </row>
        <row r="12">
          <cell r="D12" t="str">
            <v>Nguyễn Thị Hà</v>
          </cell>
          <cell r="AI12">
            <v>0</v>
          </cell>
          <cell r="AN12">
            <v>2573571.4285714286</v>
          </cell>
        </row>
        <row r="13">
          <cell r="D13" t="str">
            <v>Nguyễn Thị Minh Hương</v>
          </cell>
          <cell r="AN13">
            <v>13929857.142857142</v>
          </cell>
        </row>
        <row r="14">
          <cell r="D14" t="str">
            <v>Nguyễn Thị Diệu Chi</v>
          </cell>
          <cell r="AI14">
            <v>35889619.047619045</v>
          </cell>
          <cell r="AN14">
            <v>12635428.571428571</v>
          </cell>
        </row>
        <row r="15">
          <cell r="AI15">
            <v>0</v>
          </cell>
          <cell r="AN15">
            <v>0</v>
          </cell>
        </row>
        <row r="16">
          <cell r="D16" t="str">
            <v>Nguyễn Thị Hương</v>
          </cell>
          <cell r="AI16">
            <v>8592857.1428571418</v>
          </cell>
          <cell r="AN16">
            <v>16912142.857142858</v>
          </cell>
        </row>
        <row r="17">
          <cell r="D17" t="str">
            <v>Hoàng Thị Thu Hà</v>
          </cell>
          <cell r="AI17">
            <v>82167571.428571433</v>
          </cell>
          <cell r="AN17">
            <v>71514571.428571433</v>
          </cell>
        </row>
        <row r="18">
          <cell r="AI18">
            <v>0</v>
          </cell>
          <cell r="AN18">
            <v>0</v>
          </cell>
        </row>
        <row r="19">
          <cell r="D19" t="str">
            <v>Lê Thị Thủy</v>
          </cell>
          <cell r="AI19">
            <v>16130761.904761905</v>
          </cell>
          <cell r="AN19">
            <v>7165000</v>
          </cell>
        </row>
        <row r="20">
          <cell r="D20" t="str">
            <v>Nguyễn Văn Nam</v>
          </cell>
          <cell r="AI20">
            <v>12266428.571428571</v>
          </cell>
          <cell r="AN20">
            <v>0</v>
          </cell>
        </row>
        <row r="21">
          <cell r="D21" t="str">
            <v>Phan Thị Phương Hoa</v>
          </cell>
          <cell r="AI21">
            <v>55122619.047619045</v>
          </cell>
          <cell r="AN21">
            <v>36120714.285714284</v>
          </cell>
        </row>
        <row r="22">
          <cell r="D22" t="str">
            <v>Lê Duy Tân</v>
          </cell>
          <cell r="AN22">
            <v>12901428.571428571</v>
          </cell>
        </row>
        <row r="23">
          <cell r="D23" t="str">
            <v>Nguyễn Mạnh Thắng</v>
          </cell>
          <cell r="AN23">
            <v>-9200000</v>
          </cell>
        </row>
        <row r="24">
          <cell r="AI24">
            <v>0</v>
          </cell>
          <cell r="AN24">
            <v>0</v>
          </cell>
        </row>
        <row r="25">
          <cell r="D25" t="str">
            <v>Ngô Thị Mường Khương</v>
          </cell>
          <cell r="AI25">
            <v>39091000</v>
          </cell>
          <cell r="AN25">
            <v>22580857.142857142</v>
          </cell>
        </row>
        <row r="26">
          <cell r="D26" t="str">
            <v>Đỗ Thị Lan Anh</v>
          </cell>
          <cell r="AI26">
            <v>0</v>
          </cell>
          <cell r="AN26">
            <v>3034285.7142857141</v>
          </cell>
        </row>
        <row r="27">
          <cell r="D27" t="str">
            <v>Nguyễn Khắc Mạnh</v>
          </cell>
          <cell r="AI27">
            <v>75431333.333333328</v>
          </cell>
          <cell r="AN27">
            <v>88289571.428571433</v>
          </cell>
        </row>
        <row r="28">
          <cell r="D28" t="str">
            <v>Nguyễn Hữu Nam</v>
          </cell>
          <cell r="AI28">
            <v>27666428.571428571</v>
          </cell>
          <cell r="AN28">
            <v>33371666.666666664</v>
          </cell>
        </row>
        <row r="29">
          <cell r="D29" t="str">
            <v>DS NGOÀI (NT HIẾU HIỀN) tính cho TDV Nguyễn Hữu Nam</v>
          </cell>
          <cell r="AI29">
            <v>0</v>
          </cell>
          <cell r="AN29">
            <v>0</v>
          </cell>
        </row>
        <row r="30">
          <cell r="D30" t="str">
            <v>DS NGOÀI Á MỸ tính cho TDV Nguyễn Hữu Nam</v>
          </cell>
          <cell r="AI30">
            <v>0</v>
          </cell>
          <cell r="AN30">
            <v>0</v>
          </cell>
        </row>
        <row r="31">
          <cell r="D31" t="str">
            <v>Bùi Xuân Hiếu</v>
          </cell>
          <cell r="AI31">
            <v>0</v>
          </cell>
          <cell r="AN31">
            <v>0</v>
          </cell>
        </row>
        <row r="32">
          <cell r="D32" t="str">
            <v>Trần Quang Thịnh</v>
          </cell>
          <cell r="AN32">
            <v>5712142.8571428573</v>
          </cell>
        </row>
        <row r="33">
          <cell r="D33" t="str">
            <v>DS NGOÀI (NT HIẾU HIỀN) tính cho TDV Bùi Xuân Hiếu</v>
          </cell>
          <cell r="AI33">
            <v>0</v>
          </cell>
          <cell r="AN33">
            <v>0</v>
          </cell>
        </row>
        <row r="34">
          <cell r="D34" t="str">
            <v>Đinh Quang Phúc</v>
          </cell>
          <cell r="AI34">
            <v>56947571.428571433</v>
          </cell>
          <cell r="AN34">
            <v>22177857.142857142</v>
          </cell>
        </row>
        <row r="35">
          <cell r="D35" t="str">
            <v>Đỗ Hoài Lâm</v>
          </cell>
          <cell r="AI35">
            <v>0</v>
          </cell>
          <cell r="AN35">
            <v>0</v>
          </cell>
        </row>
        <row r="36">
          <cell r="D36" t="str">
            <v>Nguyễn Văn Xuân</v>
          </cell>
          <cell r="AI36">
            <v>9818809.5238095243</v>
          </cell>
          <cell r="AN36">
            <v>7600000</v>
          </cell>
        </row>
        <row r="37">
          <cell r="D37" t="str">
            <v>Ship cod kv3</v>
          </cell>
          <cell r="AI37">
            <v>0</v>
          </cell>
          <cell r="AN37">
            <v>0</v>
          </cell>
        </row>
        <row r="38">
          <cell r="AI38">
            <v>0</v>
          </cell>
          <cell r="AN38">
            <v>0</v>
          </cell>
        </row>
        <row r="39">
          <cell r="D39" t="str">
            <v>Đoàn Thị Thanh Ly</v>
          </cell>
          <cell r="AI39">
            <v>0</v>
          </cell>
          <cell r="AN39">
            <v>0</v>
          </cell>
        </row>
        <row r="40">
          <cell r="D40" t="str">
            <v>Đoàn Thị Thanh Hường</v>
          </cell>
          <cell r="AI40">
            <v>51776142.857142851</v>
          </cell>
          <cell r="AN40">
            <v>13790000</v>
          </cell>
        </row>
        <row r="41">
          <cell r="D41" t="str">
            <v>Phạm Đình Thăng</v>
          </cell>
          <cell r="AI41">
            <v>51048571.428571425</v>
          </cell>
          <cell r="AN41">
            <v>20794285.714285716</v>
          </cell>
        </row>
        <row r="42">
          <cell r="D42" t="str">
            <v>Quách Đăng Khiêm</v>
          </cell>
          <cell r="AI42">
            <v>68412380.952380955</v>
          </cell>
          <cell r="AN42">
            <v>80407190.476190478</v>
          </cell>
        </row>
        <row r="43">
          <cell r="AI43">
            <v>0</v>
          </cell>
          <cell r="AN43">
            <v>0</v>
          </cell>
        </row>
        <row r="44">
          <cell r="D44" t="str">
            <v>Phạm Thị Cúc</v>
          </cell>
          <cell r="AI44">
            <v>38598142.857142858</v>
          </cell>
          <cell r="AN44">
            <v>1028571.4285714285</v>
          </cell>
        </row>
        <row r="45">
          <cell r="D45" t="str">
            <v>Lý Quốc Thắng</v>
          </cell>
          <cell r="AI45">
            <v>23716428.571428571</v>
          </cell>
          <cell r="AN45">
            <v>7000000</v>
          </cell>
        </row>
        <row r="46">
          <cell r="AI46">
            <v>0</v>
          </cell>
          <cell r="AN46">
            <v>0</v>
          </cell>
        </row>
        <row r="47">
          <cell r="D47" t="str">
            <v>Nguyễn Văn Thành</v>
          </cell>
          <cell r="AI47">
            <v>90142000</v>
          </cell>
          <cell r="AN47">
            <v>97004000</v>
          </cell>
        </row>
        <row r="48">
          <cell r="D48" t="str">
            <v>Nguyễn Hữu Hào</v>
          </cell>
          <cell r="AI48">
            <v>33368571.428571429</v>
          </cell>
          <cell r="AN48">
            <v>2685714.2857142854</v>
          </cell>
        </row>
        <row r="49">
          <cell r="AI49">
            <v>0</v>
          </cell>
          <cell r="AN49">
            <v>0</v>
          </cell>
        </row>
        <row r="50">
          <cell r="D50" t="str">
            <v>Nguyễn Duy Thành</v>
          </cell>
          <cell r="AI50">
            <v>40643857.142857142</v>
          </cell>
          <cell r="AN50">
            <v>15090142.857142856</v>
          </cell>
        </row>
        <row r="51">
          <cell r="D51" t="str">
            <v>Hoàng Thị Hoa</v>
          </cell>
          <cell r="AI51">
            <v>2976000</v>
          </cell>
          <cell r="AN51">
            <v>4290000</v>
          </cell>
        </row>
        <row r="52">
          <cell r="AI52">
            <v>0</v>
          </cell>
          <cell r="AN52">
            <v>0</v>
          </cell>
        </row>
        <row r="53">
          <cell r="AI53">
            <v>0</v>
          </cell>
          <cell r="AN53">
            <v>0</v>
          </cell>
        </row>
        <row r="54">
          <cell r="D54" t="str">
            <v>Nguyễn Quang Huy</v>
          </cell>
          <cell r="AI54">
            <v>59398285.714285716</v>
          </cell>
          <cell r="AN54">
            <v>25261428.571428571</v>
          </cell>
        </row>
        <row r="55">
          <cell r="D55" t="str">
            <v>Cao Xuân Tuấn</v>
          </cell>
          <cell r="AI55">
            <v>80927142.857142866</v>
          </cell>
          <cell r="AN55">
            <v>80482000</v>
          </cell>
        </row>
        <row r="56">
          <cell r="D56" t="str">
            <v>Bùi Văn Hưng</v>
          </cell>
          <cell r="AI56">
            <v>17505000</v>
          </cell>
          <cell r="AN56">
            <v>0</v>
          </cell>
        </row>
        <row r="57">
          <cell r="D57" t="str">
            <v>Nguyễn Thùy Dương</v>
          </cell>
          <cell r="AI57">
            <v>0</v>
          </cell>
          <cell r="AN57">
            <v>34253571.428571433</v>
          </cell>
        </row>
        <row r="58">
          <cell r="AI58">
            <v>0</v>
          </cell>
          <cell r="AN58">
            <v>0</v>
          </cell>
        </row>
        <row r="59">
          <cell r="D59" t="str">
            <v>QL Tùng</v>
          </cell>
          <cell r="AI59">
            <v>0</v>
          </cell>
          <cell r="AN59">
            <v>0</v>
          </cell>
        </row>
        <row r="60">
          <cell r="D60" t="str">
            <v>Nguyễn Thị Nguyên</v>
          </cell>
          <cell r="AI60">
            <v>31508000</v>
          </cell>
          <cell r="AN60">
            <v>17003000</v>
          </cell>
        </row>
        <row r="61">
          <cell r="D61" t="str">
            <v>Nguyễn Văn Vinh</v>
          </cell>
          <cell r="AI61">
            <v>45958333.333333328</v>
          </cell>
          <cell r="AN61">
            <v>17210428.571428571</v>
          </cell>
        </row>
        <row r="62">
          <cell r="D62" t="str">
            <v>Vũ Trọng Khá</v>
          </cell>
          <cell r="AI62">
            <v>80238095.238095239</v>
          </cell>
          <cell r="AN62">
            <v>73324761.90476191</v>
          </cell>
        </row>
        <row r="63">
          <cell r="D63" t="str">
            <v>Vũ Thị Hồng Nhung</v>
          </cell>
          <cell r="AI63">
            <v>0</v>
          </cell>
          <cell r="AN63">
            <v>0</v>
          </cell>
        </row>
        <row r="64">
          <cell r="D64" t="str">
            <v>Nguyễn Hữu Qúy</v>
          </cell>
          <cell r="AI64">
            <v>29654285.714285716</v>
          </cell>
          <cell r="AN64">
            <v>22130000</v>
          </cell>
        </row>
        <row r="65">
          <cell r="D65" t="str">
            <v>Hà Thị Huệ</v>
          </cell>
          <cell r="AI65">
            <v>29738142.857142858</v>
          </cell>
          <cell r="AN65">
            <v>25958142.857142858</v>
          </cell>
        </row>
        <row r="66">
          <cell r="D66" t="str">
            <v>Hà Văn Long</v>
          </cell>
          <cell r="AI66">
            <v>0</v>
          </cell>
          <cell r="AN66">
            <v>0</v>
          </cell>
        </row>
        <row r="67">
          <cell r="D67" t="str">
            <v>Ship cod kv6</v>
          </cell>
          <cell r="AI67">
            <v>0</v>
          </cell>
          <cell r="AN67">
            <v>0</v>
          </cell>
        </row>
        <row r="68">
          <cell r="AI68">
            <v>0</v>
          </cell>
          <cell r="AN68">
            <v>0</v>
          </cell>
        </row>
        <row r="69">
          <cell r="D69" t="str">
            <v>Dương Khắc Anh</v>
          </cell>
          <cell r="AI69">
            <v>80031904.761904761</v>
          </cell>
          <cell r="AN69">
            <v>90855428.571428567</v>
          </cell>
        </row>
        <row r="70">
          <cell r="D70" t="str">
            <v>Nguyễn Thanh Tùng</v>
          </cell>
          <cell r="AI70">
            <v>80196095.238095239</v>
          </cell>
          <cell r="AN70">
            <v>91138285.714285716</v>
          </cell>
        </row>
        <row r="71">
          <cell r="D71" t="str">
            <v>Nguyễn Văn Chung</v>
          </cell>
          <cell r="AI71">
            <v>84946857.142857134</v>
          </cell>
          <cell r="AN71">
            <v>90417142.857142851</v>
          </cell>
        </row>
        <row r="72">
          <cell r="D72" t="str">
            <v>Trần Hữu Dương</v>
          </cell>
          <cell r="AI72">
            <v>86924047.619047612</v>
          </cell>
          <cell r="AN72">
            <v>90957857.142857134</v>
          </cell>
        </row>
        <row r="73">
          <cell r="D73" t="str">
            <v>Trần Thị Ngần 1</v>
          </cell>
          <cell r="AI73">
            <v>133046785.7142857</v>
          </cell>
          <cell r="AN73">
            <v>121462190.47619048</v>
          </cell>
        </row>
        <row r="74">
          <cell r="D74" t="str">
            <v>Trần Thị Ngần 2</v>
          </cell>
          <cell r="AI74">
            <v>133046785.7142857</v>
          </cell>
          <cell r="AN74">
            <v>121462190.47619048</v>
          </cell>
        </row>
        <row r="75">
          <cell r="D75" t="str">
            <v>Nguyễn Thị Mai Trang</v>
          </cell>
          <cell r="AI75">
            <v>50050000</v>
          </cell>
          <cell r="AN75">
            <v>41925000</v>
          </cell>
        </row>
        <row r="76">
          <cell r="D76" t="str">
            <v>Bùi Đình Phú</v>
          </cell>
          <cell r="AI76">
            <v>5198571.4285714291</v>
          </cell>
          <cell r="AN76">
            <v>8939285.7142857146</v>
          </cell>
        </row>
        <row r="77">
          <cell r="D77" t="str">
            <v>Ship cod kv7</v>
          </cell>
          <cell r="AI77">
            <v>0</v>
          </cell>
          <cell r="AN77">
            <v>0</v>
          </cell>
        </row>
        <row r="78">
          <cell r="AI78">
            <v>0</v>
          </cell>
          <cell r="AN78">
            <v>0</v>
          </cell>
        </row>
        <row r="79">
          <cell r="D79" t="str">
            <v>Nguyễn Thị Thạch</v>
          </cell>
          <cell r="AI79">
            <v>117174714.28571428</v>
          </cell>
          <cell r="AN79">
            <v>82030238.09523809</v>
          </cell>
        </row>
        <row r="80">
          <cell r="D80" t="str">
            <v>Trần Thị Hường</v>
          </cell>
          <cell r="AI80">
            <v>117949428.57142857</v>
          </cell>
          <cell r="AN80">
            <v>44670714.285714284</v>
          </cell>
        </row>
        <row r="81">
          <cell r="D81" t="str">
            <v>Đặng Việt Anh</v>
          </cell>
          <cell r="AI81">
            <v>117180904.76190476</v>
          </cell>
          <cell r="AN81">
            <v>96748428.571428567</v>
          </cell>
        </row>
        <row r="82">
          <cell r="D82" t="str">
            <v>Nguyễn Linh Chi</v>
          </cell>
          <cell r="AI82">
            <v>53222714.285714284</v>
          </cell>
          <cell r="AN82">
            <v>56166142.857142858</v>
          </cell>
        </row>
        <row r="83">
          <cell r="D83" t="str">
            <v>Ngô Quang Tùng</v>
          </cell>
          <cell r="AI83">
            <v>60700000</v>
          </cell>
          <cell r="AN83">
            <v>51120000</v>
          </cell>
        </row>
        <row r="84">
          <cell r="D84" t="str">
            <v>Hoàng Thị Phương</v>
          </cell>
          <cell r="AI84">
            <v>16446428.571428571</v>
          </cell>
          <cell r="AN84">
            <v>5500000</v>
          </cell>
        </row>
        <row r="85">
          <cell r="D85" t="str">
            <v>Trịnh Thế Huỳnh</v>
          </cell>
          <cell r="AI85">
            <v>0</v>
          </cell>
          <cell r="AN85">
            <v>0</v>
          </cell>
        </row>
        <row r="86">
          <cell r="D86" t="str">
            <v>Trần Như Chính</v>
          </cell>
          <cell r="AI86">
            <v>49952428.571428567</v>
          </cell>
          <cell r="AN86">
            <v>20397428.571428571</v>
          </cell>
        </row>
        <row r="87">
          <cell r="D87" t="str">
            <v>Nguyễn Hữu Thức</v>
          </cell>
          <cell r="AI87">
            <v>3351428.5714285714</v>
          </cell>
          <cell r="AN87">
            <v>2578571.4285714282</v>
          </cell>
        </row>
        <row r="88">
          <cell r="D88" t="str">
            <v>Ship cod kv8</v>
          </cell>
          <cell r="AI88">
            <v>0</v>
          </cell>
          <cell r="AN88">
            <v>0</v>
          </cell>
        </row>
        <row r="89">
          <cell r="AI89">
            <v>0</v>
          </cell>
          <cell r="AN89">
            <v>0</v>
          </cell>
        </row>
        <row r="90">
          <cell r="AI90">
            <v>2589508809.5238099</v>
          </cell>
          <cell r="AN90">
            <v>2047815142.8571429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1">
          <cell r="L11">
            <v>200</v>
          </cell>
        </row>
        <row r="12">
          <cell r="L12">
            <v>4</v>
          </cell>
        </row>
        <row r="13">
          <cell r="L13">
            <v>4</v>
          </cell>
        </row>
        <row r="14">
          <cell r="L14">
            <v>5</v>
          </cell>
        </row>
        <row r="15">
          <cell r="L15">
            <v>3</v>
          </cell>
        </row>
        <row r="16">
          <cell r="L16">
            <v>5</v>
          </cell>
        </row>
        <row r="17">
          <cell r="L17">
            <v>4</v>
          </cell>
        </row>
        <row r="18">
          <cell r="L18">
            <v>25</v>
          </cell>
        </row>
        <row r="19">
          <cell r="L19">
            <v>4</v>
          </cell>
        </row>
        <row r="20">
          <cell r="L20">
            <v>2</v>
          </cell>
        </row>
        <row r="21">
          <cell r="L21">
            <v>3</v>
          </cell>
        </row>
        <row r="22">
          <cell r="L22">
            <v>4</v>
          </cell>
        </row>
        <row r="23">
          <cell r="L23">
            <v>3</v>
          </cell>
        </row>
        <row r="24">
          <cell r="L24">
            <v>16</v>
          </cell>
        </row>
        <row r="25">
          <cell r="L25">
            <v>3</v>
          </cell>
        </row>
        <row r="26">
          <cell r="L26">
            <v>4</v>
          </cell>
        </row>
        <row r="27">
          <cell r="L27">
            <v>4</v>
          </cell>
        </row>
        <row r="28">
          <cell r="L28">
            <v>6</v>
          </cell>
        </row>
        <row r="29">
          <cell r="L29">
            <v>6</v>
          </cell>
        </row>
        <row r="30">
          <cell r="L30">
            <v>5</v>
          </cell>
        </row>
        <row r="31">
          <cell r="L31">
            <v>4</v>
          </cell>
        </row>
        <row r="32">
          <cell r="L32">
            <v>32</v>
          </cell>
        </row>
        <row r="33">
          <cell r="L33">
            <v>4</v>
          </cell>
        </row>
        <row r="34">
          <cell r="L34">
            <v>3</v>
          </cell>
        </row>
        <row r="35">
          <cell r="L35">
            <v>3</v>
          </cell>
        </row>
        <row r="36">
          <cell r="L36">
            <v>3</v>
          </cell>
        </row>
        <row r="37">
          <cell r="L37">
            <v>3</v>
          </cell>
        </row>
        <row r="38">
          <cell r="L38">
            <v>3</v>
          </cell>
        </row>
        <row r="39">
          <cell r="L39">
            <v>3</v>
          </cell>
        </row>
        <row r="41">
          <cell r="L41">
            <v>5</v>
          </cell>
        </row>
        <row r="42">
          <cell r="L42">
            <v>27</v>
          </cell>
        </row>
        <row r="43">
          <cell r="L43">
            <v>4</v>
          </cell>
        </row>
        <row r="44">
          <cell r="L44">
            <v>2</v>
          </cell>
        </row>
        <row r="45">
          <cell r="L45">
            <v>2</v>
          </cell>
        </row>
        <row r="46">
          <cell r="L46">
            <v>5</v>
          </cell>
        </row>
        <row r="47">
          <cell r="L47">
            <v>5</v>
          </cell>
        </row>
        <row r="48">
          <cell r="L48">
            <v>4</v>
          </cell>
        </row>
        <row r="49">
          <cell r="L49">
            <v>1</v>
          </cell>
        </row>
        <row r="50">
          <cell r="L50">
            <v>3</v>
          </cell>
        </row>
        <row r="51">
          <cell r="L51">
            <v>26</v>
          </cell>
        </row>
        <row r="52">
          <cell r="L52">
            <v>3</v>
          </cell>
        </row>
        <row r="53">
          <cell r="L53">
            <v>3</v>
          </cell>
        </row>
        <row r="54">
          <cell r="L54">
            <v>4</v>
          </cell>
        </row>
        <row r="55">
          <cell r="L55">
            <v>6</v>
          </cell>
        </row>
        <row r="56">
          <cell r="L56">
            <v>5</v>
          </cell>
        </row>
        <row r="57">
          <cell r="L57">
            <v>5</v>
          </cell>
        </row>
        <row r="58">
          <cell r="L58">
            <v>26</v>
          </cell>
        </row>
        <row r="59">
          <cell r="L59">
            <v>2</v>
          </cell>
        </row>
        <row r="60">
          <cell r="L60">
            <v>2</v>
          </cell>
        </row>
        <row r="61">
          <cell r="L61">
            <v>2</v>
          </cell>
        </row>
        <row r="62">
          <cell r="L62">
            <v>2</v>
          </cell>
        </row>
        <row r="63">
          <cell r="L63">
            <v>5</v>
          </cell>
        </row>
        <row r="64">
          <cell r="L64">
            <v>5</v>
          </cell>
        </row>
        <row r="65">
          <cell r="L65">
            <v>0</v>
          </cell>
        </row>
        <row r="66">
          <cell r="L66">
            <v>6</v>
          </cell>
        </row>
        <row r="67">
          <cell r="L67">
            <v>24</v>
          </cell>
        </row>
        <row r="68">
          <cell r="L68">
            <v>3</v>
          </cell>
        </row>
        <row r="69">
          <cell r="L69">
            <v>3</v>
          </cell>
        </row>
        <row r="70">
          <cell r="L70">
            <v>4</v>
          </cell>
        </row>
        <row r="71">
          <cell r="L71">
            <v>3</v>
          </cell>
        </row>
        <row r="72">
          <cell r="L72">
            <v>1</v>
          </cell>
        </row>
        <row r="73">
          <cell r="L73">
            <v>1</v>
          </cell>
        </row>
        <row r="74">
          <cell r="L74">
            <v>4</v>
          </cell>
        </row>
        <row r="75">
          <cell r="L75">
            <v>5</v>
          </cell>
        </row>
        <row r="76">
          <cell r="L76">
            <v>24</v>
          </cell>
        </row>
        <row r="81">
          <cell r="L81">
            <v>200</v>
          </cell>
        </row>
        <row r="82">
          <cell r="L82">
            <v>25</v>
          </cell>
        </row>
        <row r="83">
          <cell r="L83">
            <v>16</v>
          </cell>
        </row>
        <row r="84">
          <cell r="L84">
            <v>32</v>
          </cell>
        </row>
        <row r="85">
          <cell r="L85">
            <v>27</v>
          </cell>
        </row>
        <row r="86">
          <cell r="L86">
            <v>26</v>
          </cell>
        </row>
        <row r="87">
          <cell r="L87">
            <v>26</v>
          </cell>
        </row>
        <row r="88">
          <cell r="L88">
            <v>24</v>
          </cell>
        </row>
        <row r="89">
          <cell r="L89">
            <v>24</v>
          </cell>
        </row>
      </sheetData>
      <sheetData sheetId="30">
        <row r="1">
          <cell r="D1" t="str">
            <v>BẢNG LƯƠNG TRÌNH DƯỢC VIÊN THÁNG 5.2025</v>
          </cell>
        </row>
        <row r="4">
          <cell r="D4" t="str">
            <v>Họ và tên</v>
          </cell>
          <cell r="AF4" t="str">
            <v>TỔNG DOANH SỐ 
(Bao gồm 100% DS điểm tri ân)</v>
          </cell>
        </row>
        <row r="6">
          <cell r="D6">
            <v>3</v>
          </cell>
          <cell r="AF6">
            <v>31</v>
          </cell>
        </row>
        <row r="7">
          <cell r="D7" t="str">
            <v>Phùng Văn Hải</v>
          </cell>
          <cell r="AF7">
            <v>120306809.52380952</v>
          </cell>
        </row>
        <row r="8">
          <cell r="D8" t="str">
            <v>Lê Công Thắng</v>
          </cell>
          <cell r="AF8">
            <v>18003857.142857142</v>
          </cell>
        </row>
        <row r="9">
          <cell r="D9" t="str">
            <v>Đỗ Anh Đức</v>
          </cell>
          <cell r="AF9">
            <v>4212857.1428571427</v>
          </cell>
        </row>
        <row r="10">
          <cell r="D10" t="str">
            <v>Nguyễn Thị Loan</v>
          </cell>
          <cell r="AF10">
            <v>50718952.380952381</v>
          </cell>
        </row>
        <row r="11">
          <cell r="D11" t="str">
            <v>Nguyễn Thị Hà</v>
          </cell>
          <cell r="AF11">
            <v>731428.57142857148</v>
          </cell>
        </row>
        <row r="12">
          <cell r="D12" t="str">
            <v>Nguyễn Thị Minh Hương</v>
          </cell>
          <cell r="AF12">
            <v>15312000</v>
          </cell>
        </row>
        <row r="13">
          <cell r="D13" t="str">
            <v>Nguyễn Thị Diệu Chi</v>
          </cell>
          <cell r="AF13">
            <v>42820714.285714284</v>
          </cell>
        </row>
        <row r="14">
          <cell r="AF14">
            <v>252106619.04761904</v>
          </cell>
        </row>
        <row r="15">
          <cell r="D15" t="str">
            <v>Nguyễn Thị Hương</v>
          </cell>
          <cell r="AF15">
            <v>19251142.857142858</v>
          </cell>
        </row>
        <row r="16">
          <cell r="D16" t="str">
            <v>Hoàng Thị Thu Hà</v>
          </cell>
          <cell r="AF16">
            <v>95590714.285714284</v>
          </cell>
        </row>
        <row r="17">
          <cell r="D17" t="str">
            <v>Lê Thị Thủy</v>
          </cell>
          <cell r="AF17">
            <v>6958571.4285714282</v>
          </cell>
        </row>
        <row r="18">
          <cell r="D18" t="str">
            <v>Lê Duy Tân</v>
          </cell>
          <cell r="AF18">
            <v>9697857.1428571418</v>
          </cell>
        </row>
        <row r="19">
          <cell r="D19" t="str">
            <v>Phan Thị Phương Hoa</v>
          </cell>
          <cell r="AF19">
            <v>36502857.142857142</v>
          </cell>
        </row>
        <row r="20">
          <cell r="D20" t="str">
            <v>Nguyễn Mạnh Thắng</v>
          </cell>
          <cell r="AF20">
            <v>9725000</v>
          </cell>
        </row>
        <row r="21">
          <cell r="AF21">
            <v>177726142.85714284</v>
          </cell>
        </row>
        <row r="22">
          <cell r="D22" t="str">
            <v>Ngô Thị Mường Khương</v>
          </cell>
          <cell r="AF22">
            <v>61125428.571428567</v>
          </cell>
        </row>
        <row r="23">
          <cell r="D23" t="str">
            <v>Đinh Ngọc Dương</v>
          </cell>
          <cell r="AF23">
            <v>296190.47619047668</v>
          </cell>
        </row>
        <row r="24">
          <cell r="D24" t="str">
            <v>Nguyễn Khắc Mạnh</v>
          </cell>
          <cell r="AF24">
            <v>86784619.047619045</v>
          </cell>
        </row>
        <row r="25">
          <cell r="D25" t="str">
            <v>Nguyễn Hữu Nam</v>
          </cell>
          <cell r="AF25">
            <v>51906761.904761903</v>
          </cell>
        </row>
        <row r="26">
          <cell r="D26" t="str">
            <v>DS NGOÀI (NT HIẾU HIỀN) tính cho TDV Nguyễn Hữu Nam</v>
          </cell>
          <cell r="AF26">
            <v>0</v>
          </cell>
        </row>
        <row r="27">
          <cell r="D27" t="str">
            <v>DS NGOÀI Á MỸ tính cho TDV Nguyễn Hữu Nam</v>
          </cell>
          <cell r="AF27">
            <v>0</v>
          </cell>
        </row>
        <row r="28">
          <cell r="D28" t="str">
            <v>Trần Quang Thịnh</v>
          </cell>
          <cell r="AF28">
            <v>0</v>
          </cell>
        </row>
        <row r="29">
          <cell r="D29" t="str">
            <v>DS NGOÀI (NT HIẾU HIỀN) tính cho TDV Bùi Xuân Hiếu</v>
          </cell>
          <cell r="AF29">
            <v>0</v>
          </cell>
        </row>
        <row r="30">
          <cell r="D30" t="str">
            <v>Đinh Quang Phúc</v>
          </cell>
          <cell r="AF30">
            <v>36784571.428571433</v>
          </cell>
        </row>
        <row r="31">
          <cell r="D31" t="str">
            <v>Nguyễn Văn Xuân</v>
          </cell>
          <cell r="AF31">
            <v>9682142.8571428563</v>
          </cell>
        </row>
        <row r="32">
          <cell r="D32" t="str">
            <v>Ship cod kv3</v>
          </cell>
          <cell r="AF32">
            <v>0</v>
          </cell>
        </row>
        <row r="33">
          <cell r="AF33">
            <v>246579714.2857143</v>
          </cell>
        </row>
        <row r="34">
          <cell r="D34" t="str">
            <v>Đoàn Thị Thanh Hường</v>
          </cell>
          <cell r="AF34">
            <v>35206428.571428567</v>
          </cell>
        </row>
        <row r="35">
          <cell r="D35" t="str">
            <v>Phạm Đình Thăng</v>
          </cell>
          <cell r="AF35">
            <v>35833857.142857142</v>
          </cell>
        </row>
        <row r="36">
          <cell r="D36" t="str">
            <v>Quách Đăng Khiêm</v>
          </cell>
          <cell r="AF36">
            <v>82926380.952380955</v>
          </cell>
        </row>
        <row r="37">
          <cell r="D37" t="str">
            <v>Trần Thị Anh Thương</v>
          </cell>
          <cell r="AF37">
            <v>11315714.285714285</v>
          </cell>
        </row>
        <row r="38">
          <cell r="D38" t="str">
            <v>Phạm Thị Cúc</v>
          </cell>
          <cell r="AF38">
            <v>17607428.571428571</v>
          </cell>
        </row>
        <row r="39">
          <cell r="D39" t="str">
            <v>Lý Quốc Thắng</v>
          </cell>
          <cell r="AF39">
            <v>33214523.809523806</v>
          </cell>
        </row>
        <row r="40">
          <cell r="AF40">
            <v>0</v>
          </cell>
        </row>
        <row r="41">
          <cell r="D41" t="str">
            <v>Nguyễn Văn Thành</v>
          </cell>
          <cell r="AF41">
            <v>96512000</v>
          </cell>
        </row>
        <row r="42">
          <cell r="D42" t="str">
            <v>Nguyễn Hữu Dũng</v>
          </cell>
          <cell r="AF42">
            <v>14682857.142857142</v>
          </cell>
        </row>
        <row r="43">
          <cell r="D43" t="str">
            <v>Ship cod kv4</v>
          </cell>
          <cell r="AF43">
            <v>0</v>
          </cell>
        </row>
        <row r="44">
          <cell r="AF44">
            <v>327299190.47619045</v>
          </cell>
        </row>
        <row r="45">
          <cell r="D45" t="str">
            <v>Nguyễn Duy Thành</v>
          </cell>
          <cell r="AF45">
            <v>32132619.047619049</v>
          </cell>
        </row>
        <row r="46">
          <cell r="D46" t="str">
            <v>Hoàng Thị Hoa</v>
          </cell>
          <cell r="AF46">
            <v>0</v>
          </cell>
        </row>
        <row r="47">
          <cell r="AF47">
            <v>0</v>
          </cell>
        </row>
        <row r="48">
          <cell r="D48" t="str">
            <v>Nguyễn Chí Tuyển</v>
          </cell>
          <cell r="AF48">
            <v>2067142.857142857</v>
          </cell>
        </row>
        <row r="49">
          <cell r="D49" t="str">
            <v>Nguyễn Quang Huy</v>
          </cell>
          <cell r="AF49">
            <v>24596142.857142858</v>
          </cell>
        </row>
        <row r="50">
          <cell r="D50" t="str">
            <v>Cao xuấn Tuấn</v>
          </cell>
          <cell r="AF50">
            <v>80460571.428571433</v>
          </cell>
        </row>
        <row r="51">
          <cell r="D51" t="str">
            <v>Bùi Văn Hưng</v>
          </cell>
          <cell r="AF51">
            <v>56779904.761904761</v>
          </cell>
        </row>
        <row r="52">
          <cell r="D52" t="str">
            <v>Nguyễn Thùy Dương</v>
          </cell>
          <cell r="AF52">
            <v>10286428.571428571</v>
          </cell>
        </row>
        <row r="53">
          <cell r="D53" t="str">
            <v>Ship cod kv5</v>
          </cell>
          <cell r="AF53">
            <v>0</v>
          </cell>
        </row>
        <row r="54">
          <cell r="AF54">
            <v>206322809.52380952</v>
          </cell>
        </row>
        <row r="55">
          <cell r="D55" t="str">
            <v>Nguyễn Thị Nguyên</v>
          </cell>
          <cell r="AF55">
            <v>11406000</v>
          </cell>
        </row>
        <row r="56">
          <cell r="D56" t="str">
            <v>Nguyễn Văn Vinh</v>
          </cell>
          <cell r="AF56">
            <v>20445428.571428571</v>
          </cell>
        </row>
        <row r="57">
          <cell r="D57" t="str">
            <v>Vũ Trọng Khá</v>
          </cell>
          <cell r="AF57">
            <v>1980000</v>
          </cell>
        </row>
        <row r="58">
          <cell r="D58" t="str">
            <v>Vũ Thị Hồng Nhung</v>
          </cell>
          <cell r="AF58">
            <v>0</v>
          </cell>
        </row>
        <row r="59">
          <cell r="D59" t="str">
            <v>SAO MAI</v>
          </cell>
          <cell r="AF59">
            <v>0</v>
          </cell>
        </row>
        <row r="60">
          <cell r="D60" t="str">
            <v>Hà Thị Huệ</v>
          </cell>
          <cell r="AF60">
            <v>48340095.238095239</v>
          </cell>
        </row>
        <row r="61">
          <cell r="D61" t="str">
            <v>Nguyễn Hữu Qúy</v>
          </cell>
          <cell r="AF61">
            <v>39354000</v>
          </cell>
        </row>
        <row r="62">
          <cell r="D62" t="str">
            <v>Ship cod kv6</v>
          </cell>
          <cell r="AF62">
            <v>0</v>
          </cell>
        </row>
        <row r="63">
          <cell r="AF63">
            <v>121525523.80952381</v>
          </cell>
        </row>
        <row r="64">
          <cell r="D64" t="str">
            <v>Dương Khắc Anh</v>
          </cell>
          <cell r="AF64">
            <v>63446428.571428567</v>
          </cell>
        </row>
        <row r="65">
          <cell r="D65" t="str">
            <v>Nguyễn Thanh Tùng</v>
          </cell>
          <cell r="AF65">
            <v>63909523.809523806</v>
          </cell>
        </row>
        <row r="66">
          <cell r="D66" t="str">
            <v>Nguyễn Văn Chung</v>
          </cell>
          <cell r="AF66">
            <v>65330714.285714284</v>
          </cell>
        </row>
        <row r="67">
          <cell r="D67" t="str">
            <v>Trần Hữu Dương</v>
          </cell>
          <cell r="AF67">
            <v>64629285.714285716</v>
          </cell>
        </row>
        <row r="68">
          <cell r="D68" t="str">
            <v>Trần Thị Ngần 1</v>
          </cell>
          <cell r="AF68">
            <v>145078833.33333331</v>
          </cell>
        </row>
        <row r="69">
          <cell r="D69" t="str">
            <v>Trần Thị Ngần 2</v>
          </cell>
          <cell r="AF69">
            <v>145078833.33333331</v>
          </cell>
        </row>
        <row r="70">
          <cell r="D70" t="str">
            <v>Nguyễn Thị Mai Trang</v>
          </cell>
          <cell r="AF70">
            <v>43980000</v>
          </cell>
        </row>
        <row r="71">
          <cell r="D71" t="str">
            <v>Bùi Đình Phú</v>
          </cell>
          <cell r="AF71">
            <v>7160238.0952380951</v>
          </cell>
        </row>
        <row r="72">
          <cell r="D72" t="str">
            <v>Ship cod kv7</v>
          </cell>
          <cell r="AF72">
            <v>0</v>
          </cell>
        </row>
        <row r="73">
          <cell r="AF73">
            <v>598613857.14285707</v>
          </cell>
        </row>
        <row r="74">
          <cell r="D74" t="str">
            <v>Nguyễn Thị Thạch</v>
          </cell>
          <cell r="AF74">
            <v>99258142.857142851</v>
          </cell>
        </row>
        <row r="75">
          <cell r="D75" t="str">
            <v>Trần Thị Hường</v>
          </cell>
          <cell r="AF75">
            <v>81386571.428571433</v>
          </cell>
        </row>
        <row r="76">
          <cell r="D76" t="str">
            <v>Đặng Việt Anh</v>
          </cell>
          <cell r="AF76">
            <v>153668761.90476191</v>
          </cell>
        </row>
        <row r="77">
          <cell r="D77" t="str">
            <v>Nguyễn Linh Chi</v>
          </cell>
          <cell r="AF77">
            <v>63787809.523809522</v>
          </cell>
        </row>
        <row r="78">
          <cell r="D78" t="str">
            <v>Ngô Quang Tùng</v>
          </cell>
          <cell r="AF78">
            <v>42705000</v>
          </cell>
        </row>
        <row r="79">
          <cell r="D79" t="str">
            <v>Hoàng Thị Phương</v>
          </cell>
          <cell r="AF79">
            <v>0</v>
          </cell>
        </row>
        <row r="80">
          <cell r="D80" t="str">
            <v>Trần Như Chính</v>
          </cell>
          <cell r="AF80">
            <v>35403285.714285716</v>
          </cell>
        </row>
        <row r="81">
          <cell r="D81" t="str">
            <v>Nguyễn Hữu Thức</v>
          </cell>
          <cell r="AF81">
            <v>116666.66666666698</v>
          </cell>
        </row>
        <row r="82">
          <cell r="D82" t="str">
            <v>Ship cod kv8</v>
          </cell>
          <cell r="AF82">
            <v>53142.857142857276</v>
          </cell>
        </row>
        <row r="83">
          <cell r="AF83">
            <v>476379380.95238101</v>
          </cell>
        </row>
        <row r="84">
          <cell r="AF84">
            <v>429832761.90476191</v>
          </cell>
        </row>
        <row r="85">
          <cell r="AF85">
            <v>1976720476.1904764</v>
          </cell>
        </row>
        <row r="86">
          <cell r="AF86">
            <v>2406553238.0952382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1E8D-E86F-8E49-8AFA-ADE51E22DA0E}">
  <dimension ref="A1:AX100"/>
  <sheetViews>
    <sheetView tabSelected="1" zoomScale="85" zoomScaleNormal="85" zoomScaleSheetLayoutView="85" workbookViewId="0">
      <pane xSplit="5" ySplit="13" topLeftCell="Q14" activePane="bottomRight" state="frozen"/>
      <selection pane="topRight" activeCell="F1" sqref="F1"/>
      <selection pane="bottomLeft" activeCell="A9" sqref="A9"/>
      <selection pane="bottomRight" activeCell="X14" sqref="X14"/>
    </sheetView>
  </sheetViews>
  <sheetFormatPr baseColWidth="10" defaultColWidth="9.1640625" defaultRowHeight="13" outlineLevelCol="1" x14ac:dyDescent="0.15"/>
  <cols>
    <col min="1" max="1" width="4.5" style="1" customWidth="1"/>
    <col min="2" max="2" width="5.83203125" style="2" customWidth="1"/>
    <col min="3" max="3" width="19.5" style="2" customWidth="1"/>
    <col min="4" max="4" width="17.83203125" style="2" customWidth="1"/>
    <col min="5" max="5" width="15.83203125" style="2" customWidth="1"/>
    <col min="6" max="8" width="15.83203125" style="2" hidden="1" customWidth="1" outlineLevel="1"/>
    <col min="9" max="9" width="15.83203125" style="2" customWidth="1" collapsed="1"/>
    <col min="10" max="10" width="14.5" style="4" hidden="1" customWidth="1" outlineLevel="1"/>
    <col min="11" max="11" width="16.5" style="4" hidden="1" customWidth="1" outlineLevel="1"/>
    <col min="12" max="12" width="16.83203125" style="4" hidden="1" customWidth="1" outlineLevel="1"/>
    <col min="13" max="13" width="14.5" style="4" hidden="1" customWidth="1" outlineLevel="1"/>
    <col min="14" max="14" width="15.5" style="4" customWidth="1" collapsed="1"/>
    <col min="15" max="16" width="14.83203125" style="4" customWidth="1"/>
    <col min="17" max="20" width="4.5" style="4" customWidth="1" outlineLevel="1"/>
    <col min="21" max="21" width="16.1640625" style="4" customWidth="1"/>
    <col min="22" max="22" width="13.33203125" style="4" customWidth="1"/>
    <col min="23" max="23" width="12.33203125" style="4" customWidth="1"/>
    <col min="24" max="27" width="6.1640625" style="4" customWidth="1" outlineLevel="1"/>
    <col min="28" max="28" width="17.1640625" style="4" customWidth="1"/>
    <col min="29" max="29" width="15" style="4" customWidth="1"/>
    <col min="30" max="30" width="9.5" style="4" customWidth="1"/>
    <col min="31" max="34" width="5.33203125" style="4" customWidth="1" outlineLevel="1"/>
    <col min="35" max="35" width="17.1640625" style="4" customWidth="1"/>
    <col min="36" max="37" width="12.5" style="4" hidden="1" customWidth="1"/>
    <col min="38" max="38" width="16.6640625" style="5" bestFit="1" customWidth="1"/>
    <col min="39" max="50" width="9.1640625" style="5"/>
    <col min="51" max="16384" width="9.1640625" style="2"/>
  </cols>
  <sheetData>
    <row r="1" spans="1:50" ht="14" hidden="1" x14ac:dyDescent="0.15">
      <c r="C1" s="3" t="s">
        <v>4</v>
      </c>
    </row>
    <row r="2" spans="1:50" ht="14" hidden="1" x14ac:dyDescent="0.15">
      <c r="C2" s="3" t="s">
        <v>5</v>
      </c>
    </row>
    <row r="3" spans="1:50" ht="20.25" hidden="1" customHeight="1" x14ac:dyDescent="0.2">
      <c r="A3" s="95" t="s">
        <v>6</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5"/>
      <c r="AK3" s="5"/>
    </row>
    <row r="4" spans="1:50" ht="20.25" hidden="1" customHeight="1" x14ac:dyDescent="0.2">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5"/>
      <c r="AK4" s="5"/>
    </row>
    <row r="5" spans="1:50" s="8" customFormat="1" ht="20.25" customHeight="1" x14ac:dyDescent="0.15">
      <c r="A5" s="96" t="s">
        <v>7</v>
      </c>
      <c r="B5" s="97"/>
      <c r="C5" s="97"/>
      <c r="D5" s="97"/>
      <c r="E5" s="97"/>
      <c r="F5" s="97"/>
      <c r="G5" s="97"/>
      <c r="H5" s="97"/>
      <c r="I5" s="98"/>
      <c r="J5" s="81" t="s">
        <v>8</v>
      </c>
      <c r="K5" s="82"/>
      <c r="L5" s="82"/>
      <c r="M5" s="82"/>
      <c r="N5" s="82"/>
      <c r="O5" s="82"/>
      <c r="P5" s="83"/>
      <c r="Q5" s="81" t="s">
        <v>9</v>
      </c>
      <c r="R5" s="82"/>
      <c r="S5" s="82"/>
      <c r="T5" s="82"/>
      <c r="U5" s="82"/>
      <c r="V5" s="82"/>
      <c r="W5" s="83"/>
      <c r="X5" s="81" t="s">
        <v>10</v>
      </c>
      <c r="Y5" s="82"/>
      <c r="Z5" s="82"/>
      <c r="AA5" s="82"/>
      <c r="AB5" s="82"/>
      <c r="AC5" s="82"/>
      <c r="AD5" s="83"/>
      <c r="AE5" s="81" t="s">
        <v>11</v>
      </c>
      <c r="AF5" s="82"/>
      <c r="AG5" s="82"/>
      <c r="AH5" s="82"/>
      <c r="AI5" s="82"/>
      <c r="AJ5" s="82"/>
      <c r="AK5" s="83"/>
      <c r="AL5" s="7"/>
      <c r="AM5" s="7"/>
      <c r="AN5" s="7"/>
      <c r="AO5" s="7"/>
      <c r="AP5" s="7"/>
      <c r="AQ5" s="7"/>
      <c r="AR5" s="7"/>
      <c r="AS5" s="7"/>
      <c r="AT5" s="7"/>
      <c r="AU5" s="7"/>
      <c r="AV5" s="7"/>
      <c r="AW5" s="7"/>
      <c r="AX5" s="7"/>
    </row>
    <row r="6" spans="1:50" s="8" customFormat="1" ht="20.25" customHeight="1" x14ac:dyDescent="0.15">
      <c r="A6" s="99"/>
      <c r="B6" s="100"/>
      <c r="C6" s="100"/>
      <c r="D6" s="100"/>
      <c r="E6" s="100"/>
      <c r="F6" s="100"/>
      <c r="G6" s="100"/>
      <c r="H6" s="100"/>
      <c r="I6" s="101"/>
      <c r="J6" s="81" t="s">
        <v>12</v>
      </c>
      <c r="K6" s="82"/>
      <c r="L6" s="82"/>
      <c r="M6" s="82"/>
      <c r="N6" s="83"/>
      <c r="O6" s="88" t="s">
        <v>13</v>
      </c>
      <c r="P6" s="88" t="s">
        <v>14</v>
      </c>
      <c r="Q6" s="81" t="s">
        <v>12</v>
      </c>
      <c r="R6" s="82"/>
      <c r="S6" s="82"/>
      <c r="T6" s="82"/>
      <c r="U6" s="83"/>
      <c r="V6" s="88" t="s">
        <v>13</v>
      </c>
      <c r="W6" s="88" t="s">
        <v>14</v>
      </c>
      <c r="X6" s="81" t="s">
        <v>12</v>
      </c>
      <c r="Y6" s="82"/>
      <c r="Z6" s="82"/>
      <c r="AA6" s="82"/>
      <c r="AB6" s="83"/>
      <c r="AC6" s="88" t="s">
        <v>13</v>
      </c>
      <c r="AD6" s="88" t="s">
        <v>14</v>
      </c>
      <c r="AE6" s="81" t="s">
        <v>12</v>
      </c>
      <c r="AF6" s="82"/>
      <c r="AG6" s="82"/>
      <c r="AH6" s="82"/>
      <c r="AI6" s="83"/>
      <c r="AJ6" s="88" t="s">
        <v>13</v>
      </c>
      <c r="AK6" s="88" t="s">
        <v>14</v>
      </c>
      <c r="AL6" s="7"/>
      <c r="AM6" s="7"/>
      <c r="AN6" s="7"/>
      <c r="AO6" s="7"/>
      <c r="AP6" s="7"/>
      <c r="AQ6" s="7"/>
      <c r="AR6" s="7"/>
      <c r="AS6" s="7"/>
      <c r="AT6" s="7"/>
      <c r="AU6" s="7"/>
      <c r="AV6" s="7"/>
      <c r="AW6" s="7"/>
      <c r="AX6" s="7"/>
    </row>
    <row r="7" spans="1:50" s="8" customFormat="1" ht="30.75" customHeight="1" x14ac:dyDescent="0.15">
      <c r="A7" s="102"/>
      <c r="B7" s="103"/>
      <c r="C7" s="103"/>
      <c r="D7" s="103"/>
      <c r="E7" s="103"/>
      <c r="F7" s="103"/>
      <c r="G7" s="103"/>
      <c r="H7" s="103"/>
      <c r="I7" s="104"/>
      <c r="J7" s="9" t="s">
        <v>15</v>
      </c>
      <c r="K7" s="9" t="s">
        <v>16</v>
      </c>
      <c r="L7" s="9" t="s">
        <v>17</v>
      </c>
      <c r="M7" s="9" t="s">
        <v>18</v>
      </c>
      <c r="N7" s="9" t="s">
        <v>19</v>
      </c>
      <c r="O7" s="89"/>
      <c r="P7" s="89"/>
      <c r="Q7" s="9" t="s">
        <v>15</v>
      </c>
      <c r="R7" s="9" t="s">
        <v>16</v>
      </c>
      <c r="S7" s="9" t="s">
        <v>17</v>
      </c>
      <c r="T7" s="9" t="s">
        <v>18</v>
      </c>
      <c r="U7" s="9" t="s">
        <v>19</v>
      </c>
      <c r="V7" s="89"/>
      <c r="W7" s="89"/>
      <c r="X7" s="9" t="s">
        <v>15</v>
      </c>
      <c r="Y7" s="9" t="s">
        <v>16</v>
      </c>
      <c r="Z7" s="9" t="s">
        <v>17</v>
      </c>
      <c r="AA7" s="9" t="s">
        <v>18</v>
      </c>
      <c r="AB7" s="9" t="s">
        <v>19</v>
      </c>
      <c r="AC7" s="89"/>
      <c r="AD7" s="89"/>
      <c r="AE7" s="9" t="s">
        <v>15</v>
      </c>
      <c r="AF7" s="9" t="s">
        <v>16</v>
      </c>
      <c r="AG7" s="9" t="s">
        <v>17</v>
      </c>
      <c r="AH7" s="9" t="s">
        <v>18</v>
      </c>
      <c r="AI7" s="9" t="s">
        <v>19</v>
      </c>
      <c r="AJ7" s="89"/>
      <c r="AK7" s="89"/>
      <c r="AL7" s="7">
        <v>11033750000</v>
      </c>
      <c r="AM7" s="7"/>
      <c r="AN7" s="7"/>
      <c r="AO7" s="7"/>
      <c r="AP7" s="7"/>
      <c r="AQ7" s="7"/>
      <c r="AR7" s="7"/>
      <c r="AS7" s="7"/>
      <c r="AT7" s="7"/>
      <c r="AU7" s="7"/>
      <c r="AV7" s="7"/>
      <c r="AW7" s="7"/>
      <c r="AX7" s="7"/>
    </row>
    <row r="8" spans="1:50" s="7" customFormat="1" ht="22.5" customHeight="1" x14ac:dyDescent="0.15">
      <c r="A8" s="90" t="s">
        <v>20</v>
      </c>
      <c r="B8" s="91"/>
      <c r="C8" s="91"/>
      <c r="D8" s="91"/>
      <c r="E8" s="91"/>
      <c r="F8" s="91"/>
      <c r="G8" s="91"/>
      <c r="H8" s="91"/>
      <c r="I8" s="92"/>
      <c r="J8" s="10">
        <f>N8*J9</f>
        <v>350000000</v>
      </c>
      <c r="K8" s="10">
        <f>N8*K9</f>
        <v>1400000000</v>
      </c>
      <c r="L8" s="10">
        <f>N8*L9</f>
        <v>1050000000</v>
      </c>
      <c r="M8" s="10">
        <f>N8*M9</f>
        <v>700000000</v>
      </c>
      <c r="N8" s="10">
        <v>3500000000</v>
      </c>
      <c r="O8" s="11">
        <v>12000</v>
      </c>
      <c r="P8" s="11">
        <v>200</v>
      </c>
      <c r="Q8" s="10">
        <f>U8*Q9</f>
        <v>367500000</v>
      </c>
      <c r="R8" s="10">
        <f>U8*R9</f>
        <v>1470000000</v>
      </c>
      <c r="S8" s="10">
        <f>U8*S9</f>
        <v>1102500000</v>
      </c>
      <c r="T8" s="10">
        <f>U8*T9</f>
        <v>735000000</v>
      </c>
      <c r="U8" s="10">
        <f>N8*105%</f>
        <v>3675000000</v>
      </c>
      <c r="V8" s="11">
        <f>O8+1000</f>
        <v>13000</v>
      </c>
      <c r="W8" s="11">
        <v>180</v>
      </c>
      <c r="X8" s="10">
        <f>AB8*X9</f>
        <v>385875000</v>
      </c>
      <c r="Y8" s="10">
        <f>AB8*Y9</f>
        <v>1543500000</v>
      </c>
      <c r="Z8" s="10">
        <f>AB8*Z9</f>
        <v>1157625000</v>
      </c>
      <c r="AA8" s="10">
        <f>AB8*AA9</f>
        <v>771750000</v>
      </c>
      <c r="AB8" s="10">
        <f>U8*105%</f>
        <v>3858750000</v>
      </c>
      <c r="AC8" s="11">
        <f>V8+1000</f>
        <v>14000</v>
      </c>
      <c r="AD8" s="11">
        <v>150</v>
      </c>
      <c r="AE8" s="12">
        <f>SUMIF($J$7:$AB$7,AE$12,$J8:$AB8)</f>
        <v>1103375000</v>
      </c>
      <c r="AF8" s="12">
        <f>SUMIF($J$7:$AB$7,AF$12,$J8:$AB8)</f>
        <v>4413500000</v>
      </c>
      <c r="AG8" s="12">
        <f>SUMIF($J$7:$AB$7,AG$12,$J8:$AB8)</f>
        <v>3310125000</v>
      </c>
      <c r="AH8" s="12">
        <f>SUMIF($J$7:$AB$7,AH$12,$J8:$AB8)</f>
        <v>2206750000</v>
      </c>
      <c r="AI8" s="10">
        <f>SUM(AE8:AH8)</f>
        <v>11033750000</v>
      </c>
      <c r="AJ8" s="11">
        <f>SUMIF($J$6:$AD$6,AJ$6,$J8:$AD8)</f>
        <v>39000</v>
      </c>
      <c r="AK8" s="11">
        <f>SUMIF($J$6:$AD$6,AK$6,$J8:$AD8)</f>
        <v>530</v>
      </c>
      <c r="AL8" s="13">
        <f>AI8+'[13]Quý 3,2025'!$AI$9</f>
        <v>13240500000</v>
      </c>
    </row>
    <row r="9" spans="1:50" s="15" customFormat="1" ht="25.5" customHeight="1" x14ac:dyDescent="0.15">
      <c r="A9" s="14"/>
      <c r="I9" s="15">
        <v>3</v>
      </c>
      <c r="J9" s="16">
        <v>0.1</v>
      </c>
      <c r="K9" s="16">
        <v>0.4</v>
      </c>
      <c r="L9" s="16">
        <v>0.3</v>
      </c>
      <c r="M9" s="16">
        <v>0.2</v>
      </c>
      <c r="Q9" s="16">
        <v>0.1</v>
      </c>
      <c r="R9" s="16">
        <v>0.4</v>
      </c>
      <c r="S9" s="16">
        <v>0.3</v>
      </c>
      <c r="T9" s="16">
        <v>0.2</v>
      </c>
      <c r="X9" s="16">
        <v>0.1</v>
      </c>
      <c r="Y9" s="16">
        <v>0.4</v>
      </c>
      <c r="Z9" s="16">
        <v>0.3</v>
      </c>
      <c r="AA9" s="16">
        <v>0.2</v>
      </c>
      <c r="AE9" s="16">
        <v>0.1</v>
      </c>
      <c r="AF9" s="16">
        <v>0.4</v>
      </c>
      <c r="AG9" s="16">
        <v>0.3</v>
      </c>
      <c r="AH9" s="16">
        <v>0.2</v>
      </c>
      <c r="AL9" s="17"/>
      <c r="AM9" s="17"/>
      <c r="AN9" s="17"/>
      <c r="AO9" s="17"/>
      <c r="AP9" s="17"/>
      <c r="AQ9" s="17"/>
      <c r="AR9" s="17"/>
      <c r="AS9" s="17"/>
      <c r="AT9" s="17"/>
      <c r="AU9" s="17"/>
      <c r="AV9" s="17"/>
      <c r="AW9" s="17"/>
      <c r="AX9" s="17"/>
    </row>
    <row r="10" spans="1:50" s="8" customFormat="1" ht="20.25" customHeight="1" x14ac:dyDescent="0.15">
      <c r="A10" s="93" t="s">
        <v>21</v>
      </c>
      <c r="B10" s="94" t="s">
        <v>22</v>
      </c>
      <c r="C10" s="94" t="s">
        <v>23</v>
      </c>
      <c r="D10" s="94" t="s">
        <v>24</v>
      </c>
      <c r="E10" s="94" t="s">
        <v>25</v>
      </c>
      <c r="F10" s="94" t="s">
        <v>26</v>
      </c>
      <c r="G10" s="94"/>
      <c r="H10" s="94"/>
      <c r="I10" s="94"/>
      <c r="J10" s="81" t="s">
        <v>8</v>
      </c>
      <c r="K10" s="82"/>
      <c r="L10" s="82"/>
      <c r="M10" s="82"/>
      <c r="N10" s="82"/>
      <c r="O10" s="82"/>
      <c r="P10" s="83"/>
      <c r="Q10" s="81" t="s">
        <v>9</v>
      </c>
      <c r="R10" s="82"/>
      <c r="S10" s="82"/>
      <c r="T10" s="82"/>
      <c r="U10" s="82"/>
      <c r="V10" s="82"/>
      <c r="W10" s="83"/>
      <c r="X10" s="81" t="s">
        <v>10</v>
      </c>
      <c r="Y10" s="82"/>
      <c r="Z10" s="82"/>
      <c r="AA10" s="82"/>
      <c r="AB10" s="82"/>
      <c r="AC10" s="82"/>
      <c r="AD10" s="83"/>
      <c r="AE10" s="84" t="s">
        <v>11</v>
      </c>
      <c r="AF10" s="85"/>
      <c r="AG10" s="85"/>
      <c r="AH10" s="85"/>
      <c r="AI10" s="85"/>
      <c r="AJ10" s="85"/>
      <c r="AK10" s="85"/>
      <c r="AL10" s="7"/>
      <c r="AM10" s="7"/>
      <c r="AN10" s="7"/>
      <c r="AO10" s="7"/>
      <c r="AP10" s="7"/>
      <c r="AQ10" s="7"/>
      <c r="AR10" s="7"/>
      <c r="AS10" s="7"/>
      <c r="AT10" s="7"/>
      <c r="AU10" s="7"/>
      <c r="AV10" s="7"/>
      <c r="AW10" s="7"/>
      <c r="AX10" s="7"/>
    </row>
    <row r="11" spans="1:50" s="8" customFormat="1" ht="20.25" customHeight="1" x14ac:dyDescent="0.15">
      <c r="A11" s="93"/>
      <c r="B11" s="94"/>
      <c r="C11" s="94"/>
      <c r="D11" s="94"/>
      <c r="E11" s="94"/>
      <c r="F11" s="86" t="s">
        <v>0</v>
      </c>
      <c r="G11" s="86" t="s">
        <v>1</v>
      </c>
      <c r="H11" s="86" t="s">
        <v>2</v>
      </c>
      <c r="I11" s="86" t="s">
        <v>27</v>
      </c>
      <c r="J11" s="78" t="s">
        <v>12</v>
      </c>
      <c r="K11" s="78"/>
      <c r="L11" s="78"/>
      <c r="M11" s="78"/>
      <c r="N11" s="78"/>
      <c r="O11" s="79" t="s">
        <v>13</v>
      </c>
      <c r="P11" s="79" t="s">
        <v>14</v>
      </c>
      <c r="Q11" s="78" t="s">
        <v>12</v>
      </c>
      <c r="R11" s="78"/>
      <c r="S11" s="78"/>
      <c r="T11" s="78"/>
      <c r="U11" s="78"/>
      <c r="V11" s="79" t="s">
        <v>13</v>
      </c>
      <c r="W11" s="79" t="s">
        <v>14</v>
      </c>
      <c r="X11" s="78" t="s">
        <v>12</v>
      </c>
      <c r="Y11" s="78"/>
      <c r="Z11" s="78"/>
      <c r="AA11" s="78"/>
      <c r="AB11" s="78"/>
      <c r="AC11" s="79" t="s">
        <v>13</v>
      </c>
      <c r="AD11" s="79" t="s">
        <v>14</v>
      </c>
      <c r="AE11" s="78" t="s">
        <v>12</v>
      </c>
      <c r="AF11" s="78"/>
      <c r="AG11" s="78"/>
      <c r="AH11" s="78"/>
      <c r="AI11" s="78"/>
      <c r="AJ11" s="79" t="s">
        <v>13</v>
      </c>
      <c r="AK11" s="79" t="s">
        <v>14</v>
      </c>
      <c r="AL11" s="7"/>
      <c r="AM11" s="7"/>
      <c r="AN11" s="7"/>
      <c r="AO11" s="7"/>
      <c r="AP11" s="7"/>
      <c r="AQ11" s="7"/>
      <c r="AR11" s="7"/>
      <c r="AS11" s="7"/>
      <c r="AT11" s="7"/>
      <c r="AU11" s="7"/>
      <c r="AV11" s="7"/>
      <c r="AW11" s="7"/>
      <c r="AX11" s="7"/>
    </row>
    <row r="12" spans="1:50" s="8" customFormat="1" ht="30.75" customHeight="1" x14ac:dyDescent="0.15">
      <c r="A12" s="93"/>
      <c r="B12" s="94"/>
      <c r="C12" s="94"/>
      <c r="D12" s="94"/>
      <c r="E12" s="94"/>
      <c r="F12" s="87"/>
      <c r="G12" s="87"/>
      <c r="H12" s="87"/>
      <c r="I12" s="87"/>
      <c r="J12" s="9" t="s">
        <v>15</v>
      </c>
      <c r="K12" s="9" t="s">
        <v>16</v>
      </c>
      <c r="L12" s="9" t="s">
        <v>17</v>
      </c>
      <c r="M12" s="9" t="s">
        <v>18</v>
      </c>
      <c r="N12" s="9" t="s">
        <v>19</v>
      </c>
      <c r="O12" s="80"/>
      <c r="P12" s="80"/>
      <c r="Q12" s="9" t="s">
        <v>15</v>
      </c>
      <c r="R12" s="9" t="s">
        <v>16</v>
      </c>
      <c r="S12" s="9" t="s">
        <v>17</v>
      </c>
      <c r="T12" s="9" t="s">
        <v>18</v>
      </c>
      <c r="U12" s="9" t="s">
        <v>19</v>
      </c>
      <c r="V12" s="80"/>
      <c r="W12" s="80"/>
      <c r="X12" s="9" t="s">
        <v>15</v>
      </c>
      <c r="Y12" s="9" t="s">
        <v>16</v>
      </c>
      <c r="Z12" s="9" t="s">
        <v>17</v>
      </c>
      <c r="AA12" s="9" t="s">
        <v>18</v>
      </c>
      <c r="AB12" s="9" t="s">
        <v>19</v>
      </c>
      <c r="AC12" s="80"/>
      <c r="AD12" s="80"/>
      <c r="AE12" s="9" t="s">
        <v>15</v>
      </c>
      <c r="AF12" s="9" t="s">
        <v>16</v>
      </c>
      <c r="AG12" s="9" t="s">
        <v>17</v>
      </c>
      <c r="AH12" s="9" t="s">
        <v>18</v>
      </c>
      <c r="AI12" s="9" t="s">
        <v>19</v>
      </c>
      <c r="AJ12" s="80"/>
      <c r="AK12" s="80"/>
      <c r="AL12" s="7"/>
      <c r="AM12" s="7"/>
      <c r="AN12" s="7"/>
      <c r="AO12" s="7"/>
      <c r="AP12" s="7"/>
      <c r="AQ12" s="7"/>
      <c r="AR12" s="7"/>
      <c r="AS12" s="7"/>
      <c r="AT12" s="7"/>
      <c r="AU12" s="7"/>
      <c r="AV12" s="7"/>
      <c r="AW12" s="7"/>
      <c r="AX12" s="7"/>
    </row>
    <row r="13" spans="1:50" s="23" customFormat="1" ht="14.25" customHeight="1" x14ac:dyDescent="0.15">
      <c r="A13" s="18"/>
      <c r="B13" s="19"/>
      <c r="C13" s="20" t="s">
        <v>28</v>
      </c>
      <c r="D13" s="20" t="s">
        <v>29</v>
      </c>
      <c r="E13" s="20"/>
      <c r="F13" s="21">
        <f t="shared" ref="F13:AB13" si="0">F20+F26+F34+F44+F53+F60+F69+F78</f>
        <v>2499988809.5238094</v>
      </c>
      <c r="G13" s="21">
        <f t="shared" si="0"/>
        <v>1935748142.8571427</v>
      </c>
      <c r="H13" s="21">
        <f t="shared" si="0"/>
        <v>2388883428.5714283</v>
      </c>
      <c r="I13" s="21">
        <f t="shared" si="0"/>
        <v>2274873460.3174605</v>
      </c>
      <c r="J13" s="21">
        <f t="shared" si="0"/>
        <v>353000000</v>
      </c>
      <c r="K13" s="21">
        <f t="shared" si="0"/>
        <v>1412000000</v>
      </c>
      <c r="L13" s="21">
        <f t="shared" si="0"/>
        <v>1059000000</v>
      </c>
      <c r="M13" s="21">
        <f t="shared" si="0"/>
        <v>706000000</v>
      </c>
      <c r="N13" s="22">
        <f t="shared" si="0"/>
        <v>3530000000</v>
      </c>
      <c r="O13" s="22">
        <f t="shared" si="0"/>
        <v>12000</v>
      </c>
      <c r="P13" s="22">
        <f t="shared" si="0"/>
        <v>200</v>
      </c>
      <c r="Q13" s="22">
        <f t="shared" si="0"/>
        <v>372500000</v>
      </c>
      <c r="R13" s="22">
        <f t="shared" si="0"/>
        <v>1490000000</v>
      </c>
      <c r="S13" s="22">
        <f t="shared" si="0"/>
        <v>1117500000</v>
      </c>
      <c r="T13" s="22">
        <f t="shared" si="0"/>
        <v>745000000</v>
      </c>
      <c r="U13" s="22">
        <f t="shared" si="0"/>
        <v>3725000000</v>
      </c>
      <c r="V13" s="22">
        <f t="shared" si="0"/>
        <v>13000</v>
      </c>
      <c r="W13" s="22">
        <f t="shared" si="0"/>
        <v>180</v>
      </c>
      <c r="X13" s="22">
        <f t="shared" si="0"/>
        <v>394000000</v>
      </c>
      <c r="Y13" s="22">
        <f t="shared" si="0"/>
        <v>1576000000</v>
      </c>
      <c r="Z13" s="22">
        <f t="shared" si="0"/>
        <v>1182000000</v>
      </c>
      <c r="AA13" s="22">
        <f t="shared" si="0"/>
        <v>788000000</v>
      </c>
      <c r="AB13" s="22">
        <f t="shared" si="0"/>
        <v>3940000000</v>
      </c>
      <c r="AC13" s="22">
        <f>AC20+AC26+AC34+AC44+AC53+AC60+AC69+AC78</f>
        <v>14000</v>
      </c>
      <c r="AD13" s="22">
        <f>AD20+AD26+AD34+AD44+AD53+AD60+AD69+AD78</f>
        <v>150</v>
      </c>
      <c r="AE13" s="21">
        <f t="shared" ref="AE13:AK13" si="1">AE20+AE26+AE34+AE44+AE53+AE60+AE69+AE78</f>
        <v>1119500000</v>
      </c>
      <c r="AF13" s="21">
        <f t="shared" si="1"/>
        <v>4478000000</v>
      </c>
      <c r="AG13" s="21">
        <f t="shared" si="1"/>
        <v>3358500000</v>
      </c>
      <c r="AH13" s="21">
        <f t="shared" si="1"/>
        <v>2239000000</v>
      </c>
      <c r="AI13" s="21">
        <f t="shared" si="1"/>
        <v>11195000000</v>
      </c>
      <c r="AJ13" s="22">
        <f t="shared" si="1"/>
        <v>39000</v>
      </c>
      <c r="AK13" s="22">
        <f t="shared" si="1"/>
        <v>530</v>
      </c>
      <c r="AL13" s="13">
        <f>V13-O13</f>
        <v>1000</v>
      </c>
      <c r="AM13" s="13">
        <f>AC13-V13</f>
        <v>1000</v>
      </c>
      <c r="AN13" s="13">
        <f>P13-'[14]THÁNG 7'!L11</f>
        <v>0</v>
      </c>
      <c r="AO13" s="7"/>
      <c r="AP13" s="7"/>
      <c r="AQ13" s="7"/>
      <c r="AR13" s="7"/>
      <c r="AS13" s="7"/>
      <c r="AT13" s="7"/>
      <c r="AU13" s="7"/>
      <c r="AV13" s="7"/>
      <c r="AW13" s="7"/>
      <c r="AX13" s="7"/>
    </row>
    <row r="14" spans="1:50" ht="14.25" customHeight="1" x14ac:dyDescent="0.15">
      <c r="A14" s="24">
        <v>1</v>
      </c>
      <c r="B14" s="25" t="s">
        <v>30</v>
      </c>
      <c r="C14" s="25" t="s">
        <v>31</v>
      </c>
      <c r="D14" s="25" t="s">
        <v>32</v>
      </c>
      <c r="E14" s="25" t="s">
        <v>33</v>
      </c>
      <c r="F14" s="26">
        <f>SUMIF('[14]DS đạt từ T1-4'!$D:$D,'Quý 3,2025'!$C14,'[14]DS đạt từ T1-4'!$AI:$AI)</f>
        <v>85328809.523809522</v>
      </c>
      <c r="G14" s="26">
        <f>SUMIF('[14]DS đạt từ T1-4'!$D:$D,'Quý 3,2025'!$C14,'[14]DS đạt từ T1-4'!$AN:$AN)</f>
        <v>73781857.142857134</v>
      </c>
      <c r="H14" s="26">
        <f>SUMIF([14]T5!D:D,'Quý 3,2025'!C14,[14]T5!AF:AF)</f>
        <v>120306809.52380952</v>
      </c>
      <c r="I14" s="27">
        <f>SUM(F14:H14)/$I$9</f>
        <v>93139158.730158731</v>
      </c>
      <c r="J14" s="12">
        <f t="shared" ref="J14:J19" si="2">J$9*N14</f>
        <v>9500000</v>
      </c>
      <c r="K14" s="12">
        <f t="shared" ref="K14:K19" si="3">K$9*N14</f>
        <v>38000000</v>
      </c>
      <c r="L14" s="12">
        <f t="shared" ref="L14:L19" si="4">L$9*N14</f>
        <v>28500000</v>
      </c>
      <c r="M14" s="12">
        <f t="shared" ref="M14:M19" si="5">M$9*N14</f>
        <v>19000000</v>
      </c>
      <c r="N14" s="28">
        <v>95000000</v>
      </c>
      <c r="O14" s="29">
        <v>240</v>
      </c>
      <c r="P14" s="30">
        <v>4</v>
      </c>
      <c r="Q14" s="12">
        <f t="shared" ref="Q14:Q19" si="6">Q$9*U14</f>
        <v>10000000</v>
      </c>
      <c r="R14" s="12">
        <f t="shared" ref="R14:R19" si="7">R$9*U14</f>
        <v>40000000</v>
      </c>
      <c r="S14" s="12">
        <f t="shared" ref="S14:S19" si="8">S$9*U14</f>
        <v>30000000</v>
      </c>
      <c r="T14" s="12">
        <f t="shared" ref="T14:T19" si="9">T$9*U14</f>
        <v>20000000</v>
      </c>
      <c r="U14" s="31">
        <v>100000000</v>
      </c>
      <c r="V14" s="29">
        <v>240</v>
      </c>
      <c r="W14" s="30">
        <v>3</v>
      </c>
      <c r="X14" s="32">
        <f t="shared" ref="X14:X19" si="10">X$9*AB14</f>
        <v>10500000</v>
      </c>
      <c r="Y14" s="32">
        <f t="shared" ref="Y14:Y19" si="11">Y$9*AB14</f>
        <v>42000000</v>
      </c>
      <c r="Z14" s="32">
        <f t="shared" ref="Z14:Z19" si="12">Z$9*AB14</f>
        <v>31500000</v>
      </c>
      <c r="AA14" s="32">
        <f t="shared" ref="AA14:AA19" si="13">AA$9*AB14</f>
        <v>21000000</v>
      </c>
      <c r="AB14" s="31">
        <v>105000000</v>
      </c>
      <c r="AC14" s="29">
        <v>260</v>
      </c>
      <c r="AD14" s="30">
        <v>2</v>
      </c>
      <c r="AE14" s="12">
        <f t="shared" ref="AE14:AI19" si="14">SUMIF($J$12:$AB$12,AE$12,$J14:$AB14)</f>
        <v>30000000</v>
      </c>
      <c r="AF14" s="12">
        <f t="shared" si="14"/>
        <v>120000000</v>
      </c>
      <c r="AG14" s="12">
        <f t="shared" si="14"/>
        <v>90000000</v>
      </c>
      <c r="AH14" s="12">
        <f t="shared" si="14"/>
        <v>60000000</v>
      </c>
      <c r="AI14" s="12">
        <f t="shared" si="14"/>
        <v>300000000</v>
      </c>
      <c r="AJ14" s="12">
        <f t="shared" ref="AJ14:AK19" si="15">SUMIF($J$11:$AD$11,AJ$11,$J14:$AD14)</f>
        <v>740</v>
      </c>
      <c r="AK14" s="12">
        <f t="shared" si="15"/>
        <v>9</v>
      </c>
      <c r="AL14" s="13">
        <f>V14-O14</f>
        <v>0</v>
      </c>
      <c r="AM14" s="13">
        <f>AC14-V14</f>
        <v>20</v>
      </c>
      <c r="AN14" s="13">
        <f>P14-'[14]THÁNG 7'!L12</f>
        <v>0</v>
      </c>
    </row>
    <row r="15" spans="1:50" ht="14.25" customHeight="1" x14ac:dyDescent="0.15">
      <c r="A15" s="24">
        <v>2</v>
      </c>
      <c r="B15" s="25" t="s">
        <v>34</v>
      </c>
      <c r="C15" s="25" t="s">
        <v>35</v>
      </c>
      <c r="D15" s="25" t="s">
        <v>36</v>
      </c>
      <c r="E15" s="25" t="s">
        <v>33</v>
      </c>
      <c r="F15" s="26">
        <f>SUMIF('[14]DS đạt từ T1-4'!$D:$D,'Quý 3,2025'!$C15,'[14]DS đạt từ T1-4'!$AI:$AI)</f>
        <v>23842714.285714284</v>
      </c>
      <c r="G15" s="26">
        <f>SUMIF('[14]DS đạt từ T1-4'!$D:$D,'Quý 3,2025'!$C15,'[14]DS đạt từ T1-4'!$AN:$AN)</f>
        <v>37276809.523809522</v>
      </c>
      <c r="H15" s="26">
        <f>SUMIF([14]T5!D:D,'Quý 3,2025'!C15,[14]T5!AF:AF)</f>
        <v>18003857.142857142</v>
      </c>
      <c r="I15" s="27">
        <f t="shared" ref="I15:I77" si="16">SUM(F15:H15)/$I$9</f>
        <v>26374460.317460317</v>
      </c>
      <c r="J15" s="12">
        <f t="shared" si="2"/>
        <v>6000000</v>
      </c>
      <c r="K15" s="12">
        <f t="shared" si="3"/>
        <v>24000000</v>
      </c>
      <c r="L15" s="12">
        <f t="shared" si="4"/>
        <v>18000000</v>
      </c>
      <c r="M15" s="12">
        <f t="shared" si="5"/>
        <v>12000000</v>
      </c>
      <c r="N15" s="28">
        <v>60000000</v>
      </c>
      <c r="O15" s="29">
        <v>180</v>
      </c>
      <c r="P15" s="30">
        <v>4</v>
      </c>
      <c r="Q15" s="12">
        <f t="shared" si="6"/>
        <v>6500000</v>
      </c>
      <c r="R15" s="12">
        <f t="shared" si="7"/>
        <v>26000000</v>
      </c>
      <c r="S15" s="12">
        <f t="shared" si="8"/>
        <v>19500000</v>
      </c>
      <c r="T15" s="12">
        <f t="shared" si="9"/>
        <v>13000000</v>
      </c>
      <c r="U15" s="31">
        <v>65000000</v>
      </c>
      <c r="V15" s="29">
        <v>180</v>
      </c>
      <c r="W15" s="30">
        <v>3</v>
      </c>
      <c r="X15" s="32">
        <f t="shared" si="10"/>
        <v>7000000</v>
      </c>
      <c r="Y15" s="32">
        <f t="shared" si="11"/>
        <v>28000000</v>
      </c>
      <c r="Z15" s="32">
        <f t="shared" si="12"/>
        <v>21000000</v>
      </c>
      <c r="AA15" s="32">
        <f t="shared" si="13"/>
        <v>14000000</v>
      </c>
      <c r="AB15" s="31">
        <v>70000000</v>
      </c>
      <c r="AC15" s="29">
        <v>200</v>
      </c>
      <c r="AD15" s="30">
        <v>2</v>
      </c>
      <c r="AE15" s="12">
        <f t="shared" si="14"/>
        <v>19500000</v>
      </c>
      <c r="AF15" s="12">
        <f t="shared" si="14"/>
        <v>78000000</v>
      </c>
      <c r="AG15" s="12">
        <f t="shared" si="14"/>
        <v>58500000</v>
      </c>
      <c r="AH15" s="12">
        <f t="shared" si="14"/>
        <v>39000000</v>
      </c>
      <c r="AI15" s="12">
        <f t="shared" si="14"/>
        <v>195000000</v>
      </c>
      <c r="AJ15" s="12">
        <f t="shared" si="15"/>
        <v>560</v>
      </c>
      <c r="AK15" s="12">
        <f t="shared" si="15"/>
        <v>9</v>
      </c>
      <c r="AL15" s="13">
        <f t="shared" ref="AL15:AL78" si="17">V15-O15</f>
        <v>0</v>
      </c>
      <c r="AM15" s="13">
        <f t="shared" ref="AM15:AM78" si="18">AC15-V15</f>
        <v>20</v>
      </c>
      <c r="AN15" s="13">
        <f>P15-'[14]THÁNG 7'!L13</f>
        <v>0</v>
      </c>
    </row>
    <row r="16" spans="1:50" ht="14.25" customHeight="1" x14ac:dyDescent="0.15">
      <c r="A16" s="24">
        <v>3</v>
      </c>
      <c r="B16" s="25" t="s">
        <v>37</v>
      </c>
      <c r="C16" s="25" t="s">
        <v>38</v>
      </c>
      <c r="D16" s="25" t="s">
        <v>39</v>
      </c>
      <c r="E16" s="25" t="s">
        <v>33</v>
      </c>
      <c r="F16" s="33">
        <v>5555428.5714285709</v>
      </c>
      <c r="G16" s="33">
        <v>3820000</v>
      </c>
      <c r="H16" s="26">
        <v>4212857.1428571427</v>
      </c>
      <c r="I16" s="27">
        <f t="shared" si="16"/>
        <v>4529428.5714285709</v>
      </c>
      <c r="J16" s="12">
        <f t="shared" si="2"/>
        <v>3000000</v>
      </c>
      <c r="K16" s="12">
        <f t="shared" si="3"/>
        <v>12000000</v>
      </c>
      <c r="L16" s="12">
        <f t="shared" si="4"/>
        <v>9000000</v>
      </c>
      <c r="M16" s="12">
        <f t="shared" si="5"/>
        <v>6000000</v>
      </c>
      <c r="N16" s="28">
        <v>30000000</v>
      </c>
      <c r="O16" s="29">
        <v>120</v>
      </c>
      <c r="P16" s="30">
        <v>5</v>
      </c>
      <c r="Q16" s="12">
        <f t="shared" si="6"/>
        <v>3000000</v>
      </c>
      <c r="R16" s="12">
        <f t="shared" si="7"/>
        <v>12000000</v>
      </c>
      <c r="S16" s="12">
        <f t="shared" si="8"/>
        <v>9000000</v>
      </c>
      <c r="T16" s="12">
        <f t="shared" si="9"/>
        <v>6000000</v>
      </c>
      <c r="U16" s="31">
        <v>30000000</v>
      </c>
      <c r="V16" s="29">
        <v>160</v>
      </c>
      <c r="W16" s="30">
        <v>4</v>
      </c>
      <c r="X16" s="32">
        <f t="shared" si="10"/>
        <v>3500000</v>
      </c>
      <c r="Y16" s="32">
        <f t="shared" si="11"/>
        <v>14000000</v>
      </c>
      <c r="Z16" s="32">
        <f t="shared" si="12"/>
        <v>10500000</v>
      </c>
      <c r="AA16" s="32">
        <f t="shared" si="13"/>
        <v>7000000</v>
      </c>
      <c r="AB16" s="31">
        <v>35000000</v>
      </c>
      <c r="AC16" s="29">
        <v>170</v>
      </c>
      <c r="AD16" s="30">
        <v>3</v>
      </c>
      <c r="AE16" s="12">
        <f t="shared" si="14"/>
        <v>9500000</v>
      </c>
      <c r="AF16" s="12">
        <f t="shared" si="14"/>
        <v>38000000</v>
      </c>
      <c r="AG16" s="12">
        <f t="shared" si="14"/>
        <v>28500000</v>
      </c>
      <c r="AH16" s="12">
        <f t="shared" si="14"/>
        <v>19000000</v>
      </c>
      <c r="AI16" s="12">
        <f t="shared" si="14"/>
        <v>95000000</v>
      </c>
      <c r="AJ16" s="12">
        <f t="shared" si="15"/>
        <v>450</v>
      </c>
      <c r="AK16" s="12">
        <f t="shared" si="15"/>
        <v>12</v>
      </c>
      <c r="AL16" s="13">
        <f t="shared" si="17"/>
        <v>40</v>
      </c>
      <c r="AM16" s="13">
        <f t="shared" si="18"/>
        <v>10</v>
      </c>
      <c r="AN16" s="13">
        <f>P16-'[14]THÁNG 7'!L14</f>
        <v>0</v>
      </c>
    </row>
    <row r="17" spans="1:50" ht="14.25" customHeight="1" x14ac:dyDescent="0.15">
      <c r="A17" s="24">
        <v>4</v>
      </c>
      <c r="B17" s="25" t="s">
        <v>40</v>
      </c>
      <c r="C17" s="25" t="s">
        <v>41</v>
      </c>
      <c r="D17" s="25" t="s">
        <v>42</v>
      </c>
      <c r="E17" s="25" t="s">
        <v>33</v>
      </c>
      <c r="F17" s="26">
        <f>SUMIF('[14]DS đạt từ T1-4'!$D:$D,'Quý 3,2025'!$C17,'[14]DS đạt từ T1-4'!$AI:$AI)</f>
        <v>90628380.952380955</v>
      </c>
      <c r="G17" s="26">
        <f>SUMIF('[14]DS đạt từ T1-4'!$D:$D,'Quý 3,2025'!$C17,'[14]DS đạt từ T1-4'!$AN:$AN)</f>
        <v>31535238.095238097</v>
      </c>
      <c r="H17" s="26">
        <f>SUMIF([14]T5!D:D,'Quý 3,2025'!C17,[14]T5!AF:AF)</f>
        <v>50718952.380952381</v>
      </c>
      <c r="I17" s="27">
        <f t="shared" si="16"/>
        <v>57627523.809523813</v>
      </c>
      <c r="J17" s="12">
        <f t="shared" si="2"/>
        <v>6000000</v>
      </c>
      <c r="K17" s="12">
        <f t="shared" si="3"/>
        <v>24000000</v>
      </c>
      <c r="L17" s="12">
        <f t="shared" si="4"/>
        <v>18000000</v>
      </c>
      <c r="M17" s="12">
        <f t="shared" si="5"/>
        <v>12000000</v>
      </c>
      <c r="N17" s="28">
        <v>60000000</v>
      </c>
      <c r="O17" s="29">
        <v>215</v>
      </c>
      <c r="P17" s="30">
        <v>3</v>
      </c>
      <c r="Q17" s="12">
        <f t="shared" si="6"/>
        <v>6500000</v>
      </c>
      <c r="R17" s="12">
        <f t="shared" si="7"/>
        <v>26000000</v>
      </c>
      <c r="S17" s="12">
        <f t="shared" si="8"/>
        <v>19500000</v>
      </c>
      <c r="T17" s="12">
        <f t="shared" si="9"/>
        <v>13000000</v>
      </c>
      <c r="U17" s="31">
        <v>65000000</v>
      </c>
      <c r="V17" s="29">
        <v>215</v>
      </c>
      <c r="W17" s="30">
        <v>3</v>
      </c>
      <c r="X17" s="32">
        <f t="shared" si="10"/>
        <v>6500000</v>
      </c>
      <c r="Y17" s="32">
        <f t="shared" si="11"/>
        <v>26000000</v>
      </c>
      <c r="Z17" s="32">
        <f t="shared" si="12"/>
        <v>19500000</v>
      </c>
      <c r="AA17" s="32">
        <f t="shared" si="13"/>
        <v>13000000</v>
      </c>
      <c r="AB17" s="31">
        <v>65000000</v>
      </c>
      <c r="AC17" s="29">
        <v>225</v>
      </c>
      <c r="AD17" s="30">
        <v>3</v>
      </c>
      <c r="AE17" s="12">
        <f t="shared" si="14"/>
        <v>19000000</v>
      </c>
      <c r="AF17" s="12">
        <f t="shared" si="14"/>
        <v>76000000</v>
      </c>
      <c r="AG17" s="12">
        <f t="shared" si="14"/>
        <v>57000000</v>
      </c>
      <c r="AH17" s="12">
        <f t="shared" si="14"/>
        <v>38000000</v>
      </c>
      <c r="AI17" s="12">
        <f t="shared" si="14"/>
        <v>190000000</v>
      </c>
      <c r="AJ17" s="12">
        <f t="shared" si="15"/>
        <v>655</v>
      </c>
      <c r="AK17" s="12">
        <f t="shared" si="15"/>
        <v>9</v>
      </c>
      <c r="AL17" s="13">
        <f t="shared" si="17"/>
        <v>0</v>
      </c>
      <c r="AM17" s="13">
        <f t="shared" si="18"/>
        <v>10</v>
      </c>
      <c r="AN17" s="13">
        <f>P17-'[14]THÁNG 7'!L15</f>
        <v>0</v>
      </c>
    </row>
    <row r="18" spans="1:50" ht="14.25" customHeight="1" x14ac:dyDescent="0.15">
      <c r="A18" s="24">
        <v>5</v>
      </c>
      <c r="B18" s="25" t="s">
        <v>43</v>
      </c>
      <c r="C18" s="25" t="s">
        <v>44</v>
      </c>
      <c r="D18" s="25" t="s">
        <v>45</v>
      </c>
      <c r="E18" s="25" t="s">
        <v>33</v>
      </c>
      <c r="F18" s="26">
        <f>SUMIF('[14]DS đạt từ T1-4'!$D:$D,'Quý 3,2025'!$C18,'[14]DS đạt từ T1-4'!$AI:$AI)</f>
        <v>0</v>
      </c>
      <c r="G18" s="26">
        <f>SUMIF('[14]DS đạt từ T1-4'!$D:$D,'Quý 3,2025'!$C18,'[14]DS đạt từ T1-4'!$AN:$AN)</f>
        <v>13929857.142857142</v>
      </c>
      <c r="H18" s="26">
        <f>SUMIF([14]T5!D:D,'Quý 3,2025'!C18,[14]T5!AF:AF)</f>
        <v>15312000</v>
      </c>
      <c r="I18" s="27">
        <f t="shared" si="16"/>
        <v>9747285.7142857146</v>
      </c>
      <c r="J18" s="12">
        <f t="shared" si="2"/>
        <v>3000000</v>
      </c>
      <c r="K18" s="12">
        <f t="shared" si="3"/>
        <v>12000000</v>
      </c>
      <c r="L18" s="12">
        <f t="shared" si="4"/>
        <v>9000000</v>
      </c>
      <c r="M18" s="12">
        <f t="shared" si="5"/>
        <v>6000000</v>
      </c>
      <c r="N18" s="28">
        <v>30000000</v>
      </c>
      <c r="O18" s="29">
        <v>100</v>
      </c>
      <c r="P18" s="30">
        <v>5</v>
      </c>
      <c r="Q18" s="12">
        <f t="shared" si="6"/>
        <v>3500000</v>
      </c>
      <c r="R18" s="12">
        <f t="shared" si="7"/>
        <v>14000000</v>
      </c>
      <c r="S18" s="12">
        <f t="shared" si="8"/>
        <v>10500000</v>
      </c>
      <c r="T18" s="12">
        <f t="shared" si="9"/>
        <v>7000000</v>
      </c>
      <c r="U18" s="31">
        <v>35000000</v>
      </c>
      <c r="V18" s="29">
        <v>160</v>
      </c>
      <c r="W18" s="30">
        <v>4</v>
      </c>
      <c r="X18" s="32">
        <f t="shared" si="10"/>
        <v>4000000</v>
      </c>
      <c r="Y18" s="32">
        <f t="shared" si="11"/>
        <v>16000000</v>
      </c>
      <c r="Z18" s="32">
        <f t="shared" si="12"/>
        <v>12000000</v>
      </c>
      <c r="AA18" s="32">
        <f t="shared" si="13"/>
        <v>8000000</v>
      </c>
      <c r="AB18" s="31">
        <v>40000000</v>
      </c>
      <c r="AC18" s="29">
        <v>170</v>
      </c>
      <c r="AD18" s="30">
        <v>3</v>
      </c>
      <c r="AE18" s="12">
        <f t="shared" si="14"/>
        <v>10500000</v>
      </c>
      <c r="AF18" s="12">
        <f t="shared" si="14"/>
        <v>42000000</v>
      </c>
      <c r="AG18" s="12">
        <f t="shared" si="14"/>
        <v>31500000</v>
      </c>
      <c r="AH18" s="12">
        <f t="shared" si="14"/>
        <v>21000000</v>
      </c>
      <c r="AI18" s="12">
        <f t="shared" si="14"/>
        <v>105000000</v>
      </c>
      <c r="AJ18" s="12">
        <f t="shared" si="15"/>
        <v>430</v>
      </c>
      <c r="AK18" s="12">
        <f t="shared" si="15"/>
        <v>12</v>
      </c>
      <c r="AL18" s="13">
        <f t="shared" si="17"/>
        <v>60</v>
      </c>
      <c r="AM18" s="13">
        <f t="shared" si="18"/>
        <v>10</v>
      </c>
      <c r="AN18" s="13">
        <f>P18-'[14]THÁNG 7'!L16</f>
        <v>0</v>
      </c>
    </row>
    <row r="19" spans="1:50" ht="14.25" customHeight="1" x14ac:dyDescent="0.15">
      <c r="A19" s="24">
        <v>6</v>
      </c>
      <c r="B19" s="25" t="s">
        <v>46</v>
      </c>
      <c r="C19" s="25" t="s">
        <v>47</v>
      </c>
      <c r="D19" s="25" t="s">
        <v>48</v>
      </c>
      <c r="E19" s="25" t="s">
        <v>33</v>
      </c>
      <c r="F19" s="26">
        <f>SUMIF('[14]DS đạt từ T1-4'!$D:$D,'Quý 3,2025'!$C19,'[14]DS đạt từ T1-4'!$AI:$AI)</f>
        <v>35889619.047619045</v>
      </c>
      <c r="G19" s="26">
        <f>SUMIF('[14]DS đạt từ T1-4'!$D:$D,'Quý 3,2025'!$C19,'[14]DS đạt từ T1-4'!$AN:$AN)</f>
        <v>12635428.571428571</v>
      </c>
      <c r="H19" s="26">
        <f>SUMIF([14]T5!D:D,'Quý 3,2025'!C19,[14]T5!AF:AF)</f>
        <v>42820714.285714284</v>
      </c>
      <c r="I19" s="27">
        <f t="shared" si="16"/>
        <v>30448587.301587299</v>
      </c>
      <c r="J19" s="12">
        <f t="shared" si="2"/>
        <v>4000000</v>
      </c>
      <c r="K19" s="12">
        <f t="shared" si="3"/>
        <v>16000000</v>
      </c>
      <c r="L19" s="12">
        <f t="shared" si="4"/>
        <v>12000000</v>
      </c>
      <c r="M19" s="12">
        <f t="shared" si="5"/>
        <v>8000000</v>
      </c>
      <c r="N19" s="28">
        <v>40000000</v>
      </c>
      <c r="O19" s="29">
        <v>100</v>
      </c>
      <c r="P19" s="30">
        <v>4</v>
      </c>
      <c r="Q19" s="12">
        <f t="shared" si="6"/>
        <v>4000000</v>
      </c>
      <c r="R19" s="12">
        <f t="shared" si="7"/>
        <v>16000000</v>
      </c>
      <c r="S19" s="12">
        <f t="shared" si="8"/>
        <v>12000000</v>
      </c>
      <c r="T19" s="12">
        <f t="shared" si="9"/>
        <v>8000000</v>
      </c>
      <c r="U19" s="31">
        <v>40000000</v>
      </c>
      <c r="V19" s="29">
        <v>150</v>
      </c>
      <c r="W19" s="30">
        <v>4</v>
      </c>
      <c r="X19" s="32">
        <f t="shared" si="10"/>
        <v>4500000</v>
      </c>
      <c r="Y19" s="32">
        <f t="shared" si="11"/>
        <v>18000000</v>
      </c>
      <c r="Z19" s="32">
        <f t="shared" si="12"/>
        <v>13500000</v>
      </c>
      <c r="AA19" s="32">
        <f t="shared" si="13"/>
        <v>9000000</v>
      </c>
      <c r="AB19" s="31">
        <v>45000000</v>
      </c>
      <c r="AC19" s="29">
        <v>170</v>
      </c>
      <c r="AD19" s="30">
        <v>3</v>
      </c>
      <c r="AE19" s="12">
        <f t="shared" si="14"/>
        <v>12500000</v>
      </c>
      <c r="AF19" s="12">
        <f t="shared" si="14"/>
        <v>50000000</v>
      </c>
      <c r="AG19" s="12">
        <f t="shared" si="14"/>
        <v>37500000</v>
      </c>
      <c r="AH19" s="12">
        <f t="shared" si="14"/>
        <v>25000000</v>
      </c>
      <c r="AI19" s="12">
        <f t="shared" si="14"/>
        <v>125000000</v>
      </c>
      <c r="AJ19" s="12">
        <f t="shared" si="15"/>
        <v>420</v>
      </c>
      <c r="AK19" s="12">
        <f t="shared" si="15"/>
        <v>11</v>
      </c>
      <c r="AL19" s="13">
        <f t="shared" si="17"/>
        <v>50</v>
      </c>
      <c r="AM19" s="13">
        <f t="shared" si="18"/>
        <v>20</v>
      </c>
      <c r="AN19" s="13">
        <f>P19-'[14]THÁNG 7'!L17</f>
        <v>0</v>
      </c>
    </row>
    <row r="20" spans="1:50" s="23" customFormat="1" ht="14.25" customHeight="1" x14ac:dyDescent="0.15">
      <c r="A20" s="34" t="s">
        <v>49</v>
      </c>
      <c r="B20" s="35"/>
      <c r="C20" s="35"/>
      <c r="D20" s="35"/>
      <c r="E20" s="35"/>
      <c r="F20" s="36">
        <f>SUM(F14:F19)</f>
        <v>241244952.38095236</v>
      </c>
      <c r="G20" s="36">
        <f>SUM(G14:G19)</f>
        <v>172979190.47619045</v>
      </c>
      <c r="H20" s="36">
        <f>SUM(H14:H19)</f>
        <v>251375190.47619045</v>
      </c>
      <c r="I20" s="36">
        <f>SUM(I14:I19)</f>
        <v>221866444.44444442</v>
      </c>
      <c r="J20" s="36">
        <f t="shared" ref="J20:AK20" si="19">SUM(J14:J19)</f>
        <v>31500000</v>
      </c>
      <c r="K20" s="36">
        <f t="shared" si="19"/>
        <v>126000000</v>
      </c>
      <c r="L20" s="36">
        <f t="shared" si="19"/>
        <v>94500000</v>
      </c>
      <c r="M20" s="36">
        <f t="shared" si="19"/>
        <v>63000000</v>
      </c>
      <c r="N20" s="37">
        <f t="shared" si="19"/>
        <v>315000000</v>
      </c>
      <c r="O20" s="37">
        <f t="shared" si="19"/>
        <v>955</v>
      </c>
      <c r="P20" s="37">
        <f t="shared" si="19"/>
        <v>25</v>
      </c>
      <c r="Q20" s="37">
        <f t="shared" si="19"/>
        <v>33500000</v>
      </c>
      <c r="R20" s="37">
        <f t="shared" si="19"/>
        <v>134000000</v>
      </c>
      <c r="S20" s="37">
        <f t="shared" si="19"/>
        <v>100500000</v>
      </c>
      <c r="T20" s="37">
        <f t="shared" si="19"/>
        <v>67000000</v>
      </c>
      <c r="U20" s="37">
        <f t="shared" si="19"/>
        <v>335000000</v>
      </c>
      <c r="V20" s="37">
        <f t="shared" si="19"/>
        <v>1105</v>
      </c>
      <c r="W20" s="37">
        <f t="shared" si="19"/>
        <v>21</v>
      </c>
      <c r="X20" s="37">
        <f t="shared" si="19"/>
        <v>36000000</v>
      </c>
      <c r="Y20" s="37">
        <f t="shared" si="19"/>
        <v>144000000</v>
      </c>
      <c r="Z20" s="37">
        <f t="shared" si="19"/>
        <v>108000000</v>
      </c>
      <c r="AA20" s="37">
        <f t="shared" si="19"/>
        <v>72000000</v>
      </c>
      <c r="AB20" s="37">
        <f t="shared" si="19"/>
        <v>360000000</v>
      </c>
      <c r="AC20" s="37">
        <f t="shared" si="19"/>
        <v>1195</v>
      </c>
      <c r="AD20" s="37">
        <f t="shared" si="19"/>
        <v>16</v>
      </c>
      <c r="AE20" s="37">
        <f t="shared" si="19"/>
        <v>101000000</v>
      </c>
      <c r="AF20" s="37">
        <f t="shared" si="19"/>
        <v>404000000</v>
      </c>
      <c r="AG20" s="37">
        <f t="shared" si="19"/>
        <v>303000000</v>
      </c>
      <c r="AH20" s="37">
        <f t="shared" si="19"/>
        <v>202000000</v>
      </c>
      <c r="AI20" s="37">
        <f t="shared" si="19"/>
        <v>1010000000</v>
      </c>
      <c r="AJ20" s="37">
        <f t="shared" si="19"/>
        <v>3255</v>
      </c>
      <c r="AK20" s="37">
        <f t="shared" si="19"/>
        <v>62</v>
      </c>
      <c r="AL20" s="13">
        <f t="shared" si="17"/>
        <v>150</v>
      </c>
      <c r="AM20" s="13">
        <f t="shared" si="18"/>
        <v>90</v>
      </c>
      <c r="AN20" s="13">
        <f>P20-'[14]THÁNG 7'!L18</f>
        <v>0</v>
      </c>
      <c r="AO20" s="7"/>
      <c r="AP20" s="7"/>
      <c r="AQ20" s="7"/>
      <c r="AR20" s="7"/>
      <c r="AS20" s="7"/>
      <c r="AT20" s="7"/>
      <c r="AU20" s="7"/>
      <c r="AV20" s="7"/>
      <c r="AW20" s="7"/>
      <c r="AX20" s="7"/>
    </row>
    <row r="21" spans="1:50" ht="14.25" customHeight="1" x14ac:dyDescent="0.15">
      <c r="A21" s="24">
        <v>1</v>
      </c>
      <c r="B21" s="25" t="s">
        <v>50</v>
      </c>
      <c r="C21" s="25" t="s">
        <v>51</v>
      </c>
      <c r="D21" s="25" t="s">
        <v>52</v>
      </c>
      <c r="E21" s="25" t="s">
        <v>33</v>
      </c>
      <c r="F21" s="26">
        <f>SUMIF('[14]DS đạt từ T1-4'!$D:$D,'Quý 3,2025'!$C21,'[14]DS đạt từ T1-4'!$AI:$AI)</f>
        <v>0</v>
      </c>
      <c r="G21" s="26">
        <f>SUMIF('[14]DS đạt từ T1-4'!$D:$D,'Quý 3,2025'!$C21,'[14]DS đạt từ T1-4'!$AN:$AN)</f>
        <v>0</v>
      </c>
      <c r="H21" s="26">
        <v>19251142.857142858</v>
      </c>
      <c r="I21" s="27">
        <f t="shared" si="16"/>
        <v>6417047.6190476194</v>
      </c>
      <c r="J21" s="12">
        <f>J$9*N21</f>
        <v>6000000</v>
      </c>
      <c r="K21" s="12">
        <f>K$9*N21</f>
        <v>24000000</v>
      </c>
      <c r="L21" s="12">
        <f>L$9*N21</f>
        <v>18000000</v>
      </c>
      <c r="M21" s="12">
        <f>M$9*N21</f>
        <v>12000000</v>
      </c>
      <c r="N21" s="28">
        <v>60000000</v>
      </c>
      <c r="O21" s="38">
        <v>120</v>
      </c>
      <c r="P21" s="30">
        <v>4</v>
      </c>
      <c r="Q21" s="12">
        <f>Q$9*U21</f>
        <v>6000000</v>
      </c>
      <c r="R21" s="12">
        <f>R$9*U21</f>
        <v>24000000</v>
      </c>
      <c r="S21" s="12">
        <f>S$9*U21</f>
        <v>18000000</v>
      </c>
      <c r="T21" s="12">
        <f>T$9*U21</f>
        <v>12000000</v>
      </c>
      <c r="U21" s="31">
        <v>60000000</v>
      </c>
      <c r="V21" s="38">
        <v>150</v>
      </c>
      <c r="W21" s="30">
        <v>4</v>
      </c>
      <c r="X21" s="32">
        <f>X$9*AB21</f>
        <v>6500000</v>
      </c>
      <c r="Y21" s="32">
        <f>Y$9*AB21</f>
        <v>26000000</v>
      </c>
      <c r="Z21" s="32">
        <f>Z$9*AB21</f>
        <v>19500000</v>
      </c>
      <c r="AA21" s="32">
        <f>AA$9*AB21</f>
        <v>13000000</v>
      </c>
      <c r="AB21" s="31">
        <v>65000000</v>
      </c>
      <c r="AC21" s="38">
        <v>170</v>
      </c>
      <c r="AD21" s="30">
        <v>3</v>
      </c>
      <c r="AE21" s="12">
        <f t="shared" ref="AE21:AI25" si="20">SUMIF($J$12:$AB$12,AE$12,$J21:$AB21)</f>
        <v>18500000</v>
      </c>
      <c r="AF21" s="12">
        <f t="shared" si="20"/>
        <v>74000000</v>
      </c>
      <c r="AG21" s="12">
        <f t="shared" si="20"/>
        <v>55500000</v>
      </c>
      <c r="AH21" s="12">
        <f t="shared" si="20"/>
        <v>37000000</v>
      </c>
      <c r="AI21" s="12">
        <f t="shared" si="20"/>
        <v>185000000</v>
      </c>
      <c r="AJ21" s="12">
        <f t="shared" ref="AJ21:AK25" si="21">SUMIF($J$11:$AD$11,AJ$11,$J21:$AD21)</f>
        <v>440</v>
      </c>
      <c r="AK21" s="12">
        <f t="shared" si="21"/>
        <v>11</v>
      </c>
      <c r="AL21" s="13">
        <f t="shared" si="17"/>
        <v>30</v>
      </c>
      <c r="AM21" s="13">
        <f t="shared" si="18"/>
        <v>20</v>
      </c>
      <c r="AN21" s="13">
        <f>P21-'[14]THÁNG 7'!L19</f>
        <v>0</v>
      </c>
    </row>
    <row r="22" spans="1:50" ht="14.25" customHeight="1" x14ac:dyDescent="0.15">
      <c r="A22" s="24">
        <v>2</v>
      </c>
      <c r="B22" s="25" t="s">
        <v>53</v>
      </c>
      <c r="C22" s="25" t="s">
        <v>54</v>
      </c>
      <c r="D22" s="25" t="s">
        <v>55</v>
      </c>
      <c r="E22" s="25" t="s">
        <v>33</v>
      </c>
      <c r="F22" s="26">
        <f>SUMIF('[14]DS đạt từ T1-4'!$D:$D,'Quý 3,2025'!$C22,'[14]DS đạt từ T1-4'!$AI:$AI)</f>
        <v>82167571.428571433</v>
      </c>
      <c r="G22" s="26">
        <f>SUMIF('[14]DS đạt từ T1-4'!$D:$D,'Quý 3,2025'!$C22,'[14]DS đạt từ T1-4'!$AN:$AN)</f>
        <v>71514571.428571433</v>
      </c>
      <c r="H22" s="26">
        <f>SUMIF([14]T5!D:D,'Quý 3,2025'!C22,[14]T5!AF:AF)</f>
        <v>95590714.285714284</v>
      </c>
      <c r="I22" s="27">
        <f t="shared" si="16"/>
        <v>83090952.380952373</v>
      </c>
      <c r="J22" s="12">
        <f>J$9*N22</f>
        <v>9000000</v>
      </c>
      <c r="K22" s="12">
        <f>K$9*N22</f>
        <v>36000000</v>
      </c>
      <c r="L22" s="12">
        <f>L$9*N22</f>
        <v>27000000</v>
      </c>
      <c r="M22" s="12">
        <f>M$9*N22</f>
        <v>18000000</v>
      </c>
      <c r="N22" s="28">
        <v>90000000</v>
      </c>
      <c r="O22" s="29">
        <v>230</v>
      </c>
      <c r="P22" s="30">
        <v>2</v>
      </c>
      <c r="Q22" s="12">
        <f>Q$9*U22</f>
        <v>9500000</v>
      </c>
      <c r="R22" s="12">
        <f>R$9*U22</f>
        <v>38000000</v>
      </c>
      <c r="S22" s="12">
        <f>S$9*U22</f>
        <v>28500000</v>
      </c>
      <c r="T22" s="12">
        <f>T$9*U22</f>
        <v>19000000</v>
      </c>
      <c r="U22" s="31">
        <v>95000000</v>
      </c>
      <c r="V22" s="29">
        <v>250</v>
      </c>
      <c r="W22" s="30">
        <v>2</v>
      </c>
      <c r="X22" s="32">
        <f>X$9*AB22</f>
        <v>9500000</v>
      </c>
      <c r="Y22" s="32">
        <f>Y$9*AB22</f>
        <v>38000000</v>
      </c>
      <c r="Z22" s="32">
        <f>Z$9*AB22</f>
        <v>28500000</v>
      </c>
      <c r="AA22" s="32">
        <f>AA$9*AB22</f>
        <v>19000000</v>
      </c>
      <c r="AB22" s="31">
        <v>95000000</v>
      </c>
      <c r="AC22" s="29">
        <v>270</v>
      </c>
      <c r="AD22" s="30">
        <v>2</v>
      </c>
      <c r="AE22" s="12">
        <f t="shared" si="20"/>
        <v>28000000</v>
      </c>
      <c r="AF22" s="12">
        <f t="shared" si="20"/>
        <v>112000000</v>
      </c>
      <c r="AG22" s="12">
        <f t="shared" si="20"/>
        <v>84000000</v>
      </c>
      <c r="AH22" s="12">
        <f t="shared" si="20"/>
        <v>56000000</v>
      </c>
      <c r="AI22" s="12">
        <f t="shared" si="20"/>
        <v>280000000</v>
      </c>
      <c r="AJ22" s="12">
        <f t="shared" si="21"/>
        <v>750</v>
      </c>
      <c r="AK22" s="12">
        <f t="shared" si="21"/>
        <v>6</v>
      </c>
      <c r="AL22" s="13">
        <f t="shared" si="17"/>
        <v>20</v>
      </c>
      <c r="AM22" s="13">
        <f t="shared" si="18"/>
        <v>20</v>
      </c>
      <c r="AN22" s="13">
        <f>P22-'[14]THÁNG 7'!L20</f>
        <v>0</v>
      </c>
    </row>
    <row r="23" spans="1:50" s="1" customFormat="1" ht="14.25" customHeight="1" x14ac:dyDescent="0.15">
      <c r="A23" s="24">
        <v>3</v>
      </c>
      <c r="B23" s="25" t="s">
        <v>56</v>
      </c>
      <c r="C23" s="25" t="s">
        <v>57</v>
      </c>
      <c r="D23" s="25" t="s">
        <v>58</v>
      </c>
      <c r="E23" s="25" t="s">
        <v>33</v>
      </c>
      <c r="F23" s="33">
        <v>16130761.904761905</v>
      </c>
      <c r="G23" s="33">
        <v>7165000</v>
      </c>
      <c r="H23" s="26">
        <v>6958571.4285714282</v>
      </c>
      <c r="I23" s="27">
        <f t="shared" si="16"/>
        <v>10084777.777777778</v>
      </c>
      <c r="J23" s="12">
        <f>J$9*N23</f>
        <v>3000000</v>
      </c>
      <c r="K23" s="12">
        <f>K$9*N23</f>
        <v>12000000</v>
      </c>
      <c r="L23" s="12">
        <f>L$9*N23</f>
        <v>9000000</v>
      </c>
      <c r="M23" s="12">
        <f>M$9*N23</f>
        <v>6000000</v>
      </c>
      <c r="N23" s="28">
        <v>30000000</v>
      </c>
      <c r="O23" s="38">
        <v>100</v>
      </c>
      <c r="P23" s="30">
        <v>3</v>
      </c>
      <c r="Q23" s="12">
        <f>Q$9*U23</f>
        <v>3500000</v>
      </c>
      <c r="R23" s="12">
        <f>R$9*U23</f>
        <v>14000000</v>
      </c>
      <c r="S23" s="12">
        <f>S$9*U23</f>
        <v>10500000</v>
      </c>
      <c r="T23" s="12">
        <f>T$9*U23</f>
        <v>7000000</v>
      </c>
      <c r="U23" s="31">
        <v>35000000</v>
      </c>
      <c r="V23" s="38">
        <v>140</v>
      </c>
      <c r="W23" s="30">
        <v>3</v>
      </c>
      <c r="X23" s="32">
        <f>X$9*AB23</f>
        <v>4000000</v>
      </c>
      <c r="Y23" s="32">
        <f>Y$9*AB23</f>
        <v>16000000</v>
      </c>
      <c r="Z23" s="32">
        <f>Z$9*AB23</f>
        <v>12000000</v>
      </c>
      <c r="AA23" s="32">
        <f>AA$9*AB23</f>
        <v>8000000</v>
      </c>
      <c r="AB23" s="31">
        <v>40000000</v>
      </c>
      <c r="AC23" s="38">
        <v>150</v>
      </c>
      <c r="AD23" s="30">
        <v>4</v>
      </c>
      <c r="AE23" s="12">
        <f t="shared" si="20"/>
        <v>10500000</v>
      </c>
      <c r="AF23" s="12">
        <f t="shared" si="20"/>
        <v>42000000</v>
      </c>
      <c r="AG23" s="12">
        <f t="shared" si="20"/>
        <v>31500000</v>
      </c>
      <c r="AH23" s="12">
        <f t="shared" si="20"/>
        <v>21000000</v>
      </c>
      <c r="AI23" s="12">
        <f t="shared" si="20"/>
        <v>105000000</v>
      </c>
      <c r="AJ23" s="12">
        <f t="shared" si="21"/>
        <v>390</v>
      </c>
      <c r="AK23" s="12">
        <f t="shared" si="21"/>
        <v>10</v>
      </c>
      <c r="AL23" s="13">
        <f t="shared" si="17"/>
        <v>40</v>
      </c>
      <c r="AM23" s="13">
        <f t="shared" si="18"/>
        <v>10</v>
      </c>
      <c r="AN23" s="13">
        <f>P23-'[14]THÁNG 7'!L21</f>
        <v>0</v>
      </c>
      <c r="AO23" s="7"/>
      <c r="AP23" s="7"/>
      <c r="AQ23" s="7"/>
      <c r="AR23" s="7"/>
      <c r="AS23" s="7"/>
      <c r="AT23" s="7"/>
      <c r="AU23" s="7"/>
      <c r="AV23" s="7"/>
      <c r="AW23" s="7"/>
      <c r="AX23" s="7"/>
    </row>
    <row r="24" spans="1:50" ht="14.25" customHeight="1" x14ac:dyDescent="0.15">
      <c r="A24" s="39">
        <v>4</v>
      </c>
      <c r="B24" s="25" t="s">
        <v>59</v>
      </c>
      <c r="C24" s="25" t="s">
        <v>60</v>
      </c>
      <c r="D24" s="25" t="s">
        <v>61</v>
      </c>
      <c r="E24" s="25" t="s">
        <v>33</v>
      </c>
      <c r="F24" s="33">
        <v>12266428.571428571</v>
      </c>
      <c r="G24" s="26">
        <f>SUMIF('[14]DS đạt từ T1-4'!$D:$D,'Quý 3,2025'!$C24,'[14]DS đạt từ T1-4'!$AN:$AN)</f>
        <v>0</v>
      </c>
      <c r="H24" s="26">
        <v>9697857.1428571418</v>
      </c>
      <c r="I24" s="27">
        <f t="shared" si="16"/>
        <v>7321428.5714285709</v>
      </c>
      <c r="J24" s="12">
        <f>J$9*N24</f>
        <v>3000000</v>
      </c>
      <c r="K24" s="12">
        <f>K$9*N24</f>
        <v>12000000</v>
      </c>
      <c r="L24" s="12">
        <f>L$9*N24</f>
        <v>9000000</v>
      </c>
      <c r="M24" s="12">
        <f>M$9*N24</f>
        <v>6000000</v>
      </c>
      <c r="N24" s="28">
        <v>30000000</v>
      </c>
      <c r="O24" s="38">
        <v>100</v>
      </c>
      <c r="P24" s="30">
        <v>4</v>
      </c>
      <c r="Q24" s="12">
        <f>Q$9*U24</f>
        <v>3500000</v>
      </c>
      <c r="R24" s="12">
        <f>R$9*U24</f>
        <v>14000000</v>
      </c>
      <c r="S24" s="12">
        <f>S$9*U24</f>
        <v>10500000</v>
      </c>
      <c r="T24" s="12">
        <f>T$9*U24</f>
        <v>7000000</v>
      </c>
      <c r="U24" s="31">
        <v>35000000</v>
      </c>
      <c r="V24" s="38">
        <v>130</v>
      </c>
      <c r="W24" s="30">
        <v>4</v>
      </c>
      <c r="X24" s="32">
        <f>X$9*AB24</f>
        <v>4000000</v>
      </c>
      <c r="Y24" s="32">
        <f>Y$9*AB24</f>
        <v>16000000</v>
      </c>
      <c r="Z24" s="32">
        <f>Z$9*AB24</f>
        <v>12000000</v>
      </c>
      <c r="AA24" s="32">
        <f>AA$9*AB24</f>
        <v>8000000</v>
      </c>
      <c r="AB24" s="31">
        <v>40000000</v>
      </c>
      <c r="AC24" s="38">
        <v>150</v>
      </c>
      <c r="AD24" s="30">
        <v>3</v>
      </c>
      <c r="AE24" s="12">
        <f t="shared" si="20"/>
        <v>10500000</v>
      </c>
      <c r="AF24" s="12">
        <f t="shared" si="20"/>
        <v>42000000</v>
      </c>
      <c r="AG24" s="12">
        <f t="shared" si="20"/>
        <v>31500000</v>
      </c>
      <c r="AH24" s="12">
        <f t="shared" si="20"/>
        <v>21000000</v>
      </c>
      <c r="AI24" s="12">
        <f t="shared" si="20"/>
        <v>105000000</v>
      </c>
      <c r="AJ24" s="12">
        <f t="shared" si="21"/>
        <v>380</v>
      </c>
      <c r="AK24" s="12">
        <f t="shared" si="21"/>
        <v>11</v>
      </c>
      <c r="AL24" s="13">
        <f t="shared" si="17"/>
        <v>30</v>
      </c>
      <c r="AM24" s="13">
        <f t="shared" si="18"/>
        <v>20</v>
      </c>
      <c r="AN24" s="13">
        <f>P24-'[14]THÁNG 7'!L22</f>
        <v>0</v>
      </c>
    </row>
    <row r="25" spans="1:50" s="1" customFormat="1" ht="14.25" customHeight="1" x14ac:dyDescent="0.15">
      <c r="A25" s="24">
        <v>5</v>
      </c>
      <c r="B25" s="25" t="s">
        <v>62</v>
      </c>
      <c r="C25" s="25" t="s">
        <v>63</v>
      </c>
      <c r="D25" s="25" t="s">
        <v>64</v>
      </c>
      <c r="E25" s="25" t="s">
        <v>33</v>
      </c>
      <c r="F25" s="26">
        <f>SUMIF('[14]DS đạt từ T1-4'!$D:$D,'Quý 3,2025'!$C25,'[14]DS đạt từ T1-4'!$AI:$AI)</f>
        <v>55122619.047619045</v>
      </c>
      <c r="G25" s="26">
        <f>SUMIF('[14]DS đạt từ T1-4'!$D:$D,'Quý 3,2025'!$C25,'[14]DS đạt từ T1-4'!$AN:$AN)</f>
        <v>36120714.285714284</v>
      </c>
      <c r="H25" s="26">
        <f>SUMIF([14]T5!D:D,'Quý 3,2025'!C25,[14]T5!AF:AF)</f>
        <v>36502857.142857142</v>
      </c>
      <c r="I25" s="27">
        <f t="shared" si="16"/>
        <v>42582063.492063493</v>
      </c>
      <c r="J25" s="12">
        <f>J$9*N25</f>
        <v>6000000</v>
      </c>
      <c r="K25" s="12">
        <f>K$9*N25</f>
        <v>24000000</v>
      </c>
      <c r="L25" s="12">
        <f>L$9*N25</f>
        <v>18000000</v>
      </c>
      <c r="M25" s="12">
        <f>M$9*N25</f>
        <v>12000000</v>
      </c>
      <c r="N25" s="28">
        <v>60000000</v>
      </c>
      <c r="O25" s="40">
        <v>170</v>
      </c>
      <c r="P25" s="30">
        <v>3</v>
      </c>
      <c r="Q25" s="12">
        <f>Q$9*U25</f>
        <v>6000000</v>
      </c>
      <c r="R25" s="12">
        <f>R$9*U25</f>
        <v>24000000</v>
      </c>
      <c r="S25" s="12">
        <f>S$9*U25</f>
        <v>18000000</v>
      </c>
      <c r="T25" s="12">
        <f>T$9*U25</f>
        <v>12000000</v>
      </c>
      <c r="U25" s="31">
        <v>60000000</v>
      </c>
      <c r="V25" s="40">
        <v>170</v>
      </c>
      <c r="W25" s="30">
        <v>3</v>
      </c>
      <c r="X25" s="32">
        <f>X$9*AB25</f>
        <v>6500000</v>
      </c>
      <c r="Y25" s="32">
        <f>Y$9*AB25</f>
        <v>26000000</v>
      </c>
      <c r="Z25" s="32">
        <f>Z$9*AB25</f>
        <v>19500000</v>
      </c>
      <c r="AA25" s="32">
        <f>AA$9*AB25</f>
        <v>13000000</v>
      </c>
      <c r="AB25" s="31">
        <v>65000000</v>
      </c>
      <c r="AC25" s="40">
        <v>190</v>
      </c>
      <c r="AD25" s="30">
        <v>2</v>
      </c>
      <c r="AE25" s="12">
        <f t="shared" si="20"/>
        <v>18500000</v>
      </c>
      <c r="AF25" s="12">
        <f t="shared" si="20"/>
        <v>74000000</v>
      </c>
      <c r="AG25" s="12">
        <f t="shared" si="20"/>
        <v>55500000</v>
      </c>
      <c r="AH25" s="12">
        <f t="shared" si="20"/>
        <v>37000000</v>
      </c>
      <c r="AI25" s="12">
        <f t="shared" si="20"/>
        <v>185000000</v>
      </c>
      <c r="AJ25" s="12">
        <f t="shared" si="21"/>
        <v>530</v>
      </c>
      <c r="AK25" s="12">
        <f t="shared" si="21"/>
        <v>8</v>
      </c>
      <c r="AL25" s="13">
        <f t="shared" si="17"/>
        <v>0</v>
      </c>
      <c r="AM25" s="13">
        <f t="shared" si="18"/>
        <v>20</v>
      </c>
      <c r="AN25" s="13">
        <f>P25-'[14]THÁNG 7'!L23</f>
        <v>0</v>
      </c>
      <c r="AO25" s="7"/>
      <c r="AP25" s="7"/>
      <c r="AQ25" s="7"/>
      <c r="AR25" s="7"/>
      <c r="AS25" s="7"/>
      <c r="AT25" s="7"/>
      <c r="AU25" s="7"/>
      <c r="AV25" s="7"/>
      <c r="AW25" s="7"/>
      <c r="AX25" s="7"/>
    </row>
    <row r="26" spans="1:50" s="23" customFormat="1" ht="14.25" customHeight="1" x14ac:dyDescent="0.15">
      <c r="A26" s="34" t="s">
        <v>65</v>
      </c>
      <c r="B26" s="35"/>
      <c r="C26" s="35" t="s">
        <v>66</v>
      </c>
      <c r="D26" s="35"/>
      <c r="E26" s="35"/>
      <c r="F26" s="36">
        <f t="shared" ref="F26:N26" si="22">SUM(F21:F25)</f>
        <v>165687380.95238096</v>
      </c>
      <c r="G26" s="36">
        <f t="shared" si="22"/>
        <v>114800285.71428572</v>
      </c>
      <c r="H26" s="36">
        <f t="shared" si="22"/>
        <v>168001142.85714284</v>
      </c>
      <c r="I26" s="36">
        <f t="shared" si="22"/>
        <v>149496269.84126985</v>
      </c>
      <c r="J26" s="36">
        <f t="shared" si="22"/>
        <v>27000000</v>
      </c>
      <c r="K26" s="36">
        <f t="shared" si="22"/>
        <v>108000000</v>
      </c>
      <c r="L26" s="36">
        <f t="shared" si="22"/>
        <v>81000000</v>
      </c>
      <c r="M26" s="36">
        <f t="shared" si="22"/>
        <v>54000000</v>
      </c>
      <c r="N26" s="37">
        <f t="shared" si="22"/>
        <v>270000000</v>
      </c>
      <c r="O26" s="37">
        <f t="shared" ref="O26:AK26" si="23">SUM(O21:O25)</f>
        <v>720</v>
      </c>
      <c r="P26" s="37">
        <f t="shared" si="23"/>
        <v>16</v>
      </c>
      <c r="Q26" s="37">
        <f t="shared" si="23"/>
        <v>28500000</v>
      </c>
      <c r="R26" s="37">
        <f t="shared" si="23"/>
        <v>114000000</v>
      </c>
      <c r="S26" s="37">
        <f t="shared" si="23"/>
        <v>85500000</v>
      </c>
      <c r="T26" s="37">
        <f t="shared" si="23"/>
        <v>57000000</v>
      </c>
      <c r="U26" s="37">
        <f t="shared" si="23"/>
        <v>285000000</v>
      </c>
      <c r="V26" s="37">
        <f t="shared" si="23"/>
        <v>840</v>
      </c>
      <c r="W26" s="37">
        <f t="shared" si="23"/>
        <v>16</v>
      </c>
      <c r="X26" s="37">
        <f t="shared" si="23"/>
        <v>30500000</v>
      </c>
      <c r="Y26" s="37">
        <f t="shared" si="23"/>
        <v>122000000</v>
      </c>
      <c r="Z26" s="37">
        <f t="shared" si="23"/>
        <v>91500000</v>
      </c>
      <c r="AA26" s="37">
        <f t="shared" si="23"/>
        <v>61000000</v>
      </c>
      <c r="AB26" s="37">
        <f t="shared" si="23"/>
        <v>305000000</v>
      </c>
      <c r="AC26" s="37">
        <f t="shared" si="23"/>
        <v>930</v>
      </c>
      <c r="AD26" s="37">
        <f t="shared" si="23"/>
        <v>14</v>
      </c>
      <c r="AE26" s="37">
        <f t="shared" si="23"/>
        <v>86000000</v>
      </c>
      <c r="AF26" s="37">
        <f t="shared" si="23"/>
        <v>344000000</v>
      </c>
      <c r="AG26" s="37">
        <f t="shared" si="23"/>
        <v>258000000</v>
      </c>
      <c r="AH26" s="37">
        <f t="shared" si="23"/>
        <v>172000000</v>
      </c>
      <c r="AI26" s="37">
        <f t="shared" si="23"/>
        <v>860000000</v>
      </c>
      <c r="AJ26" s="37">
        <f t="shared" si="23"/>
        <v>2490</v>
      </c>
      <c r="AK26" s="37">
        <f t="shared" si="23"/>
        <v>46</v>
      </c>
      <c r="AL26" s="13">
        <f t="shared" si="17"/>
        <v>120</v>
      </c>
      <c r="AM26" s="13">
        <f t="shared" si="18"/>
        <v>90</v>
      </c>
      <c r="AN26" s="13">
        <f>P26-'[14]THÁNG 7'!L24</f>
        <v>0</v>
      </c>
      <c r="AO26" s="7"/>
      <c r="AP26" s="7"/>
      <c r="AQ26" s="7"/>
      <c r="AR26" s="7"/>
      <c r="AS26" s="7"/>
      <c r="AT26" s="7"/>
      <c r="AU26" s="7"/>
      <c r="AV26" s="7"/>
      <c r="AW26" s="7"/>
      <c r="AX26" s="7"/>
    </row>
    <row r="27" spans="1:50" ht="14.25" customHeight="1" x14ac:dyDescent="0.15">
      <c r="A27" s="24">
        <v>1</v>
      </c>
      <c r="B27" s="41" t="s">
        <v>67</v>
      </c>
      <c r="C27" s="41" t="s">
        <v>68</v>
      </c>
      <c r="D27" s="41" t="s">
        <v>69</v>
      </c>
      <c r="E27" s="41" t="s">
        <v>70</v>
      </c>
      <c r="F27" s="26">
        <f>SUMIF('[14]DS đạt từ T1-4'!$D:$D,'Quý 3,2025'!$C27,'[14]DS đạt từ T1-4'!$AI:$AI)</f>
        <v>39091000</v>
      </c>
      <c r="G27" s="26">
        <f>SUMIF('[14]DS đạt từ T1-4'!$D:$D,'Quý 3,2025'!$C27,'[14]DS đạt từ T1-4'!$AN:$AN)</f>
        <v>22580857.142857142</v>
      </c>
      <c r="H27" s="26">
        <f>SUMIF([14]T5!D:D,'Quý 3,2025'!C27,[14]T5!AF:AF)</f>
        <v>61125428.571428567</v>
      </c>
      <c r="I27" s="27">
        <f t="shared" si="16"/>
        <v>40932428.571428567</v>
      </c>
      <c r="J27" s="12">
        <f t="shared" ref="J27:J33" si="24">J$9*N27</f>
        <v>6000000</v>
      </c>
      <c r="K27" s="12">
        <f t="shared" ref="K27:K33" si="25">K$9*N27</f>
        <v>24000000</v>
      </c>
      <c r="L27" s="12">
        <f t="shared" ref="L27:L33" si="26">L$9*N27</f>
        <v>18000000</v>
      </c>
      <c r="M27" s="12">
        <f t="shared" ref="M27:M33" si="27">M$9*N27</f>
        <v>12000000</v>
      </c>
      <c r="N27" s="28">
        <v>60000000</v>
      </c>
      <c r="O27" s="29">
        <v>250</v>
      </c>
      <c r="P27" s="30">
        <v>3</v>
      </c>
      <c r="Q27" s="12">
        <f t="shared" ref="Q27:Q33" si="28">Q$9*U27</f>
        <v>6500000</v>
      </c>
      <c r="R27" s="12">
        <f t="shared" ref="R27:R33" si="29">R$9*U27</f>
        <v>26000000</v>
      </c>
      <c r="S27" s="12">
        <f t="shared" ref="S27:S33" si="30">S$9*U27</f>
        <v>19500000</v>
      </c>
      <c r="T27" s="12">
        <f t="shared" ref="T27:T33" si="31">T$9*U27</f>
        <v>13000000</v>
      </c>
      <c r="U27" s="31">
        <v>65000000</v>
      </c>
      <c r="V27" s="29">
        <v>270</v>
      </c>
      <c r="W27" s="30">
        <v>3</v>
      </c>
      <c r="X27" s="32">
        <f t="shared" ref="X27:X33" si="32">X$9*AB27</f>
        <v>7000000</v>
      </c>
      <c r="Y27" s="32">
        <f t="shared" ref="Y27:Y33" si="33">Y$9*AB27</f>
        <v>28000000</v>
      </c>
      <c r="Z27" s="32">
        <f t="shared" ref="Z27:Z33" si="34">Z$9*AB27</f>
        <v>21000000</v>
      </c>
      <c r="AA27" s="32">
        <f t="shared" ref="AA27:AA33" si="35">AA$9*AB27</f>
        <v>14000000</v>
      </c>
      <c r="AB27" s="31">
        <v>70000000</v>
      </c>
      <c r="AC27" s="29">
        <v>290</v>
      </c>
      <c r="AD27" s="30">
        <v>2</v>
      </c>
      <c r="AE27" s="12">
        <f t="shared" ref="AE27:AI33" si="36">SUMIF($J$12:$AB$12,AE$12,$J27:$AB27)</f>
        <v>19500000</v>
      </c>
      <c r="AF27" s="12">
        <f t="shared" si="36"/>
        <v>78000000</v>
      </c>
      <c r="AG27" s="12">
        <f t="shared" si="36"/>
        <v>58500000</v>
      </c>
      <c r="AH27" s="12">
        <f t="shared" si="36"/>
        <v>39000000</v>
      </c>
      <c r="AI27" s="12">
        <f t="shared" si="36"/>
        <v>195000000</v>
      </c>
      <c r="AJ27" s="12">
        <f t="shared" ref="AJ27:AK33" si="37">SUMIF($J$11:$AD$11,AJ$11,$J27:$AD27)</f>
        <v>810</v>
      </c>
      <c r="AK27" s="12">
        <f t="shared" si="37"/>
        <v>8</v>
      </c>
      <c r="AL27" s="13">
        <f t="shared" si="17"/>
        <v>20</v>
      </c>
      <c r="AM27" s="13">
        <f t="shared" si="18"/>
        <v>20</v>
      </c>
      <c r="AN27" s="13">
        <f>P27-'[14]THÁNG 7'!L25</f>
        <v>0</v>
      </c>
    </row>
    <row r="28" spans="1:50" ht="14.25" customHeight="1" x14ac:dyDescent="0.15">
      <c r="A28" s="24">
        <v>2</v>
      </c>
      <c r="B28" s="41" t="s">
        <v>71</v>
      </c>
      <c r="C28" s="41" t="s">
        <v>72</v>
      </c>
      <c r="D28" s="41" t="s">
        <v>73</v>
      </c>
      <c r="E28" s="41" t="s">
        <v>74</v>
      </c>
      <c r="F28" s="33"/>
      <c r="G28" s="33">
        <v>3034285.7142857141</v>
      </c>
      <c r="H28" s="26">
        <f>SUMIF([14]T5!D:D,'Quý 3,2025'!C28,[14]T5!AF:AF)</f>
        <v>296190.47619047668</v>
      </c>
      <c r="I28" s="27">
        <f t="shared" si="16"/>
        <v>1110158.7301587302</v>
      </c>
      <c r="J28" s="12">
        <f t="shared" si="24"/>
        <v>5500000</v>
      </c>
      <c r="K28" s="12">
        <f t="shared" si="25"/>
        <v>22000000</v>
      </c>
      <c r="L28" s="12">
        <f t="shared" si="26"/>
        <v>16500000</v>
      </c>
      <c r="M28" s="12">
        <f t="shared" si="27"/>
        <v>11000000</v>
      </c>
      <c r="N28" s="28">
        <v>55000000</v>
      </c>
      <c r="O28" s="29">
        <v>220</v>
      </c>
      <c r="P28" s="30">
        <v>4</v>
      </c>
      <c r="Q28" s="12">
        <f t="shared" si="28"/>
        <v>6000000</v>
      </c>
      <c r="R28" s="12">
        <f t="shared" si="29"/>
        <v>24000000</v>
      </c>
      <c r="S28" s="12">
        <f t="shared" si="30"/>
        <v>18000000</v>
      </c>
      <c r="T28" s="12">
        <f t="shared" si="31"/>
        <v>12000000</v>
      </c>
      <c r="U28" s="31">
        <v>60000000</v>
      </c>
      <c r="V28" s="29">
        <v>240</v>
      </c>
      <c r="W28" s="30">
        <v>4</v>
      </c>
      <c r="X28" s="32">
        <f t="shared" si="32"/>
        <v>6000000</v>
      </c>
      <c r="Y28" s="32">
        <f t="shared" si="33"/>
        <v>24000000</v>
      </c>
      <c r="Z28" s="32">
        <f t="shared" si="34"/>
        <v>18000000</v>
      </c>
      <c r="AA28" s="32">
        <f t="shared" si="35"/>
        <v>12000000</v>
      </c>
      <c r="AB28" s="31">
        <v>60000000</v>
      </c>
      <c r="AC28" s="29">
        <v>260</v>
      </c>
      <c r="AD28" s="30">
        <v>3</v>
      </c>
      <c r="AE28" s="12">
        <f t="shared" si="36"/>
        <v>17500000</v>
      </c>
      <c r="AF28" s="12">
        <f t="shared" si="36"/>
        <v>70000000</v>
      </c>
      <c r="AG28" s="12">
        <f t="shared" si="36"/>
        <v>52500000</v>
      </c>
      <c r="AH28" s="12">
        <f t="shared" si="36"/>
        <v>35000000</v>
      </c>
      <c r="AI28" s="12">
        <f t="shared" si="36"/>
        <v>175000000</v>
      </c>
      <c r="AJ28" s="12">
        <f t="shared" si="37"/>
        <v>720</v>
      </c>
      <c r="AK28" s="12">
        <f t="shared" si="37"/>
        <v>11</v>
      </c>
      <c r="AL28" s="13">
        <f t="shared" si="17"/>
        <v>20</v>
      </c>
      <c r="AM28" s="13">
        <f t="shared" si="18"/>
        <v>20</v>
      </c>
      <c r="AN28" s="13">
        <f>P28-'[14]THÁNG 7'!L26</f>
        <v>0</v>
      </c>
    </row>
    <row r="29" spans="1:50" ht="14.25" customHeight="1" x14ac:dyDescent="0.15">
      <c r="A29" s="24">
        <v>3</v>
      </c>
      <c r="B29" s="41" t="s">
        <v>75</v>
      </c>
      <c r="C29" s="41" t="s">
        <v>76</v>
      </c>
      <c r="D29" s="41" t="s">
        <v>77</v>
      </c>
      <c r="E29" s="41" t="s">
        <v>78</v>
      </c>
      <c r="F29" s="26">
        <f>SUMIF('[14]DS đạt từ T1-4'!$D:$D,'Quý 3,2025'!$C29,'[14]DS đạt từ T1-4'!$AI:$AI)</f>
        <v>75431333.333333328</v>
      </c>
      <c r="G29" s="26">
        <f>SUMIF('[14]DS đạt từ T1-4'!$D:$D,'Quý 3,2025'!$C29,'[14]DS đạt từ T1-4'!$AN:$AN)</f>
        <v>88289571.428571433</v>
      </c>
      <c r="H29" s="26">
        <f>SUMIF([14]T5!D:D,'Quý 3,2025'!C29,[14]T5!AF:AF)</f>
        <v>86784619.047619045</v>
      </c>
      <c r="I29" s="27">
        <f t="shared" si="16"/>
        <v>83501841.269841269</v>
      </c>
      <c r="J29" s="12">
        <f t="shared" si="24"/>
        <v>8000000</v>
      </c>
      <c r="K29" s="12">
        <f t="shared" si="25"/>
        <v>32000000</v>
      </c>
      <c r="L29" s="12">
        <f t="shared" si="26"/>
        <v>24000000</v>
      </c>
      <c r="M29" s="12">
        <f t="shared" si="27"/>
        <v>16000000</v>
      </c>
      <c r="N29" s="28">
        <v>80000000</v>
      </c>
      <c r="O29" s="29">
        <v>380</v>
      </c>
      <c r="P29" s="30">
        <v>4</v>
      </c>
      <c r="Q29" s="12">
        <f t="shared" si="28"/>
        <v>8500000</v>
      </c>
      <c r="R29" s="12">
        <f t="shared" si="29"/>
        <v>34000000</v>
      </c>
      <c r="S29" s="12">
        <f t="shared" si="30"/>
        <v>25500000</v>
      </c>
      <c r="T29" s="12">
        <f t="shared" si="31"/>
        <v>17000000</v>
      </c>
      <c r="U29" s="31">
        <v>85000000</v>
      </c>
      <c r="V29" s="29">
        <v>400</v>
      </c>
      <c r="W29" s="30">
        <v>3</v>
      </c>
      <c r="X29" s="32">
        <f t="shared" si="32"/>
        <v>9000000</v>
      </c>
      <c r="Y29" s="32">
        <f t="shared" si="33"/>
        <v>36000000</v>
      </c>
      <c r="Z29" s="32">
        <f t="shared" si="34"/>
        <v>27000000</v>
      </c>
      <c r="AA29" s="32">
        <f t="shared" si="35"/>
        <v>18000000</v>
      </c>
      <c r="AB29" s="31">
        <v>90000000</v>
      </c>
      <c r="AC29" s="29">
        <v>400</v>
      </c>
      <c r="AD29" s="30">
        <v>3</v>
      </c>
      <c r="AE29" s="12">
        <f t="shared" si="36"/>
        <v>25500000</v>
      </c>
      <c r="AF29" s="12">
        <f t="shared" si="36"/>
        <v>102000000</v>
      </c>
      <c r="AG29" s="12">
        <f t="shared" si="36"/>
        <v>76500000</v>
      </c>
      <c r="AH29" s="12">
        <f t="shared" si="36"/>
        <v>51000000</v>
      </c>
      <c r="AI29" s="12">
        <f t="shared" si="36"/>
        <v>255000000</v>
      </c>
      <c r="AJ29" s="12">
        <f t="shared" si="37"/>
        <v>1180</v>
      </c>
      <c r="AK29" s="12">
        <f t="shared" si="37"/>
        <v>10</v>
      </c>
      <c r="AL29" s="13">
        <f t="shared" si="17"/>
        <v>20</v>
      </c>
      <c r="AM29" s="13">
        <f t="shared" si="18"/>
        <v>0</v>
      </c>
      <c r="AN29" s="13">
        <f>P29-'[14]THÁNG 7'!L27</f>
        <v>0</v>
      </c>
    </row>
    <row r="30" spans="1:50" ht="14.25" customHeight="1" x14ac:dyDescent="0.15">
      <c r="A30" s="24">
        <v>4</v>
      </c>
      <c r="B30" s="41" t="s">
        <v>79</v>
      </c>
      <c r="C30" s="41" t="s">
        <v>80</v>
      </c>
      <c r="D30" s="41" t="s">
        <v>81</v>
      </c>
      <c r="E30" s="41" t="s">
        <v>82</v>
      </c>
      <c r="F30" s="26">
        <f>SUMIF('[14]DS đạt từ T1-4'!$D:$D,'Quý 3,2025'!$C30,'[14]DS đạt từ T1-4'!$AI:$AI)</f>
        <v>27666428.571428571</v>
      </c>
      <c r="G30" s="26">
        <f>SUMIF('[14]DS đạt từ T1-4'!$D:$D,'Quý 3,2025'!$C30,'[14]DS đạt từ T1-4'!$AN:$AN)</f>
        <v>33371666.666666664</v>
      </c>
      <c r="H30" s="26">
        <f>SUMIF([14]T5!D:D,'Quý 3,2025'!C30,[14]T5!AF:AF)</f>
        <v>51906761.904761903</v>
      </c>
      <c r="I30" s="27">
        <f t="shared" si="16"/>
        <v>37648285.714285709</v>
      </c>
      <c r="J30" s="12">
        <f t="shared" si="24"/>
        <v>6000000</v>
      </c>
      <c r="K30" s="12">
        <f t="shared" si="25"/>
        <v>24000000</v>
      </c>
      <c r="L30" s="12">
        <f t="shared" si="26"/>
        <v>18000000</v>
      </c>
      <c r="M30" s="12">
        <f t="shared" si="27"/>
        <v>12000000</v>
      </c>
      <c r="N30" s="42">
        <v>60000000</v>
      </c>
      <c r="O30" s="43">
        <v>270</v>
      </c>
      <c r="P30" s="44">
        <v>6</v>
      </c>
      <c r="Q30" s="12">
        <f t="shared" si="28"/>
        <v>6500000</v>
      </c>
      <c r="R30" s="12">
        <f t="shared" si="29"/>
        <v>26000000</v>
      </c>
      <c r="S30" s="12">
        <f t="shared" si="30"/>
        <v>19500000</v>
      </c>
      <c r="T30" s="12">
        <f t="shared" si="31"/>
        <v>13000000</v>
      </c>
      <c r="U30" s="31">
        <v>65000000</v>
      </c>
      <c r="V30" s="43">
        <v>270</v>
      </c>
      <c r="W30" s="44">
        <v>5</v>
      </c>
      <c r="X30" s="32">
        <f t="shared" si="32"/>
        <v>7000000</v>
      </c>
      <c r="Y30" s="32">
        <f t="shared" si="33"/>
        <v>28000000</v>
      </c>
      <c r="Z30" s="32">
        <f t="shared" si="34"/>
        <v>21000000</v>
      </c>
      <c r="AA30" s="32">
        <f t="shared" si="35"/>
        <v>14000000</v>
      </c>
      <c r="AB30" s="31">
        <v>70000000</v>
      </c>
      <c r="AC30" s="43">
        <v>290</v>
      </c>
      <c r="AD30" s="44">
        <v>3</v>
      </c>
      <c r="AE30" s="12">
        <f t="shared" si="36"/>
        <v>19500000</v>
      </c>
      <c r="AF30" s="12">
        <f t="shared" si="36"/>
        <v>78000000</v>
      </c>
      <c r="AG30" s="12">
        <f t="shared" si="36"/>
        <v>58500000</v>
      </c>
      <c r="AH30" s="12">
        <f t="shared" si="36"/>
        <v>39000000</v>
      </c>
      <c r="AI30" s="12">
        <f t="shared" si="36"/>
        <v>195000000</v>
      </c>
      <c r="AJ30" s="12">
        <f t="shared" si="37"/>
        <v>830</v>
      </c>
      <c r="AK30" s="12">
        <f t="shared" si="37"/>
        <v>14</v>
      </c>
      <c r="AL30" s="13">
        <f t="shared" si="17"/>
        <v>0</v>
      </c>
      <c r="AM30" s="13">
        <f t="shared" si="18"/>
        <v>20</v>
      </c>
      <c r="AN30" s="13">
        <f>P30-'[14]THÁNG 7'!L28</f>
        <v>0</v>
      </c>
    </row>
    <row r="31" spans="1:50" ht="14.25" customHeight="1" x14ac:dyDescent="0.15">
      <c r="A31" s="24">
        <v>5</v>
      </c>
      <c r="B31" s="41" t="s">
        <v>83</v>
      </c>
      <c r="C31" s="41" t="s">
        <v>84</v>
      </c>
      <c r="D31" s="41" t="s">
        <v>85</v>
      </c>
      <c r="E31" s="41" t="s">
        <v>86</v>
      </c>
      <c r="F31" s="26">
        <f>SUMIF('[14]DS đạt từ T1-4'!$D:$D,'Quý 3,2025'!$C31,'[14]DS đạt từ T1-4'!$AI:$AI)</f>
        <v>0</v>
      </c>
      <c r="G31" s="26">
        <f>SUMIF('[14]DS đạt từ T1-4'!$D:$D,'Quý 3,2025'!$C31,'[14]DS đạt từ T1-4'!$AN:$AN)</f>
        <v>0</v>
      </c>
      <c r="H31" s="26">
        <f>SUMIF([14]T5!D:D,'Quý 3,2025'!C31,[14]T5!AF:AF)</f>
        <v>0</v>
      </c>
      <c r="I31" s="27">
        <f t="shared" si="16"/>
        <v>0</v>
      </c>
      <c r="J31" s="12">
        <f t="shared" si="24"/>
        <v>5000000</v>
      </c>
      <c r="K31" s="12">
        <f t="shared" si="25"/>
        <v>20000000</v>
      </c>
      <c r="L31" s="12">
        <f t="shared" si="26"/>
        <v>15000000</v>
      </c>
      <c r="M31" s="12">
        <f t="shared" si="27"/>
        <v>10000000</v>
      </c>
      <c r="N31" s="42">
        <v>50000000</v>
      </c>
      <c r="O31" s="29">
        <v>180</v>
      </c>
      <c r="P31" s="30">
        <v>6</v>
      </c>
      <c r="Q31" s="12">
        <f t="shared" si="28"/>
        <v>5500000</v>
      </c>
      <c r="R31" s="12">
        <f t="shared" si="29"/>
        <v>22000000</v>
      </c>
      <c r="S31" s="12">
        <f t="shared" si="30"/>
        <v>16500000</v>
      </c>
      <c r="T31" s="12">
        <f t="shared" si="31"/>
        <v>11000000</v>
      </c>
      <c r="U31" s="31">
        <v>55000000</v>
      </c>
      <c r="V31" s="29">
        <v>200</v>
      </c>
      <c r="W31" s="30">
        <v>6</v>
      </c>
      <c r="X31" s="32">
        <f t="shared" si="32"/>
        <v>5500000</v>
      </c>
      <c r="Y31" s="32">
        <f t="shared" si="33"/>
        <v>22000000</v>
      </c>
      <c r="Z31" s="32">
        <f t="shared" si="34"/>
        <v>16500000</v>
      </c>
      <c r="AA31" s="32">
        <f t="shared" si="35"/>
        <v>11000000</v>
      </c>
      <c r="AB31" s="31">
        <v>55000000</v>
      </c>
      <c r="AC31" s="29">
        <v>245</v>
      </c>
      <c r="AD31" s="30">
        <v>5</v>
      </c>
      <c r="AE31" s="12">
        <f t="shared" si="36"/>
        <v>16000000</v>
      </c>
      <c r="AF31" s="12">
        <f t="shared" si="36"/>
        <v>64000000</v>
      </c>
      <c r="AG31" s="12">
        <f t="shared" si="36"/>
        <v>48000000</v>
      </c>
      <c r="AH31" s="12">
        <f t="shared" si="36"/>
        <v>32000000</v>
      </c>
      <c r="AI31" s="12">
        <f t="shared" si="36"/>
        <v>160000000</v>
      </c>
      <c r="AJ31" s="12">
        <f t="shared" si="37"/>
        <v>625</v>
      </c>
      <c r="AK31" s="12">
        <f t="shared" si="37"/>
        <v>17</v>
      </c>
      <c r="AL31" s="13">
        <f t="shared" si="17"/>
        <v>20</v>
      </c>
      <c r="AM31" s="13">
        <f t="shared" si="18"/>
        <v>45</v>
      </c>
      <c r="AN31" s="13">
        <f>P31-'[14]THÁNG 7'!L29</f>
        <v>0</v>
      </c>
    </row>
    <row r="32" spans="1:50" ht="14.25" customHeight="1" x14ac:dyDescent="0.15">
      <c r="A32" s="24">
        <v>6</v>
      </c>
      <c r="B32" s="41" t="s">
        <v>87</v>
      </c>
      <c r="C32" s="41" t="s">
        <v>88</v>
      </c>
      <c r="D32" s="41" t="s">
        <v>89</v>
      </c>
      <c r="E32" s="41" t="s">
        <v>90</v>
      </c>
      <c r="F32" s="26">
        <f>SUMIF('[14]DS đạt từ T1-4'!$D:$D,'Quý 3,2025'!$C32,'[14]DS đạt từ T1-4'!$AI:$AI)</f>
        <v>56947571.428571433</v>
      </c>
      <c r="G32" s="26">
        <f>SUMIF('[14]DS đạt từ T1-4'!$D:$D,'Quý 3,2025'!$C32,'[14]DS đạt từ T1-4'!$AN:$AN)</f>
        <v>22177857.142857142</v>
      </c>
      <c r="H32" s="26">
        <f>SUMIF([14]T5!D:D,'Quý 3,2025'!C32,[14]T5!AF:AF)</f>
        <v>36784571.428571433</v>
      </c>
      <c r="I32" s="27">
        <f t="shared" si="16"/>
        <v>38636666.666666664</v>
      </c>
      <c r="J32" s="12">
        <f t="shared" si="24"/>
        <v>5500000</v>
      </c>
      <c r="K32" s="12">
        <f t="shared" si="25"/>
        <v>22000000</v>
      </c>
      <c r="L32" s="12">
        <f t="shared" si="26"/>
        <v>16500000</v>
      </c>
      <c r="M32" s="12">
        <f t="shared" si="27"/>
        <v>11000000</v>
      </c>
      <c r="N32" s="42">
        <v>55000000</v>
      </c>
      <c r="O32" s="43">
        <v>170</v>
      </c>
      <c r="P32" s="44">
        <v>5</v>
      </c>
      <c r="Q32" s="12">
        <f t="shared" si="28"/>
        <v>6000000</v>
      </c>
      <c r="R32" s="12">
        <f t="shared" si="29"/>
        <v>24000000</v>
      </c>
      <c r="S32" s="12">
        <f t="shared" si="30"/>
        <v>18000000</v>
      </c>
      <c r="T32" s="12">
        <f t="shared" si="31"/>
        <v>12000000</v>
      </c>
      <c r="U32" s="31">
        <v>60000000</v>
      </c>
      <c r="V32" s="43">
        <v>200</v>
      </c>
      <c r="W32" s="44">
        <v>4</v>
      </c>
      <c r="X32" s="32">
        <f t="shared" si="32"/>
        <v>6500000</v>
      </c>
      <c r="Y32" s="32">
        <f t="shared" si="33"/>
        <v>26000000</v>
      </c>
      <c r="Z32" s="32">
        <f t="shared" si="34"/>
        <v>19500000</v>
      </c>
      <c r="AA32" s="32">
        <f t="shared" si="35"/>
        <v>13000000</v>
      </c>
      <c r="AB32" s="31">
        <v>65000000</v>
      </c>
      <c r="AC32" s="43">
        <v>220</v>
      </c>
      <c r="AD32" s="44">
        <v>4</v>
      </c>
      <c r="AE32" s="12">
        <f t="shared" si="36"/>
        <v>18000000</v>
      </c>
      <c r="AF32" s="12">
        <f t="shared" si="36"/>
        <v>72000000</v>
      </c>
      <c r="AG32" s="12">
        <f t="shared" si="36"/>
        <v>54000000</v>
      </c>
      <c r="AH32" s="12">
        <f t="shared" si="36"/>
        <v>36000000</v>
      </c>
      <c r="AI32" s="12">
        <f t="shared" si="36"/>
        <v>180000000</v>
      </c>
      <c r="AJ32" s="12">
        <f t="shared" si="37"/>
        <v>590</v>
      </c>
      <c r="AK32" s="12">
        <f t="shared" si="37"/>
        <v>13</v>
      </c>
      <c r="AL32" s="13">
        <f t="shared" si="17"/>
        <v>30</v>
      </c>
      <c r="AM32" s="13">
        <f t="shared" si="18"/>
        <v>20</v>
      </c>
      <c r="AN32" s="13">
        <f>P32-'[14]THÁNG 7'!L30</f>
        <v>0</v>
      </c>
    </row>
    <row r="33" spans="1:50" s="1" customFormat="1" ht="14.25" customHeight="1" x14ac:dyDescent="0.15">
      <c r="A33" s="24">
        <v>7</v>
      </c>
      <c r="B33" s="41" t="s">
        <v>91</v>
      </c>
      <c r="C33" s="41" t="s">
        <v>92</v>
      </c>
      <c r="D33" s="41" t="s">
        <v>93</v>
      </c>
      <c r="E33" s="41" t="s">
        <v>94</v>
      </c>
      <c r="F33" s="26">
        <f>SUMIF('[14]DS đạt từ T1-4'!$D:$D,'Quý 3,2025'!$C33,'[14]DS đạt từ T1-4'!$AI:$AI)</f>
        <v>9818809.5238095243</v>
      </c>
      <c r="G33" s="26">
        <f>SUMIF('[14]DS đạt từ T1-4'!$D:$D,'Quý 3,2025'!$C33,'[14]DS đạt từ T1-4'!$AN:$AN)</f>
        <v>7600000</v>
      </c>
      <c r="H33" s="26">
        <f>SUMIF([14]T5!D:D,'Quý 3,2025'!C33,[14]T5!AF:AF)</f>
        <v>9682142.8571428563</v>
      </c>
      <c r="I33" s="27">
        <f t="shared" si="16"/>
        <v>9033650.7936507929</v>
      </c>
      <c r="J33" s="12">
        <f t="shared" si="24"/>
        <v>5000000</v>
      </c>
      <c r="K33" s="12">
        <f t="shared" si="25"/>
        <v>20000000</v>
      </c>
      <c r="L33" s="12">
        <f t="shared" si="26"/>
        <v>15000000</v>
      </c>
      <c r="M33" s="12">
        <f t="shared" si="27"/>
        <v>10000000</v>
      </c>
      <c r="N33" s="42">
        <v>50000000</v>
      </c>
      <c r="O33" s="43">
        <v>150</v>
      </c>
      <c r="P33" s="44">
        <v>4</v>
      </c>
      <c r="Q33" s="12">
        <f t="shared" si="28"/>
        <v>5500000</v>
      </c>
      <c r="R33" s="12">
        <f t="shared" si="29"/>
        <v>22000000</v>
      </c>
      <c r="S33" s="12">
        <f t="shared" si="30"/>
        <v>16500000</v>
      </c>
      <c r="T33" s="12">
        <f t="shared" si="31"/>
        <v>11000000</v>
      </c>
      <c r="U33" s="31">
        <v>55000000</v>
      </c>
      <c r="V33" s="43">
        <v>180</v>
      </c>
      <c r="W33" s="44">
        <v>4</v>
      </c>
      <c r="X33" s="32">
        <f t="shared" si="32"/>
        <v>5500000</v>
      </c>
      <c r="Y33" s="32">
        <f t="shared" si="33"/>
        <v>22000000</v>
      </c>
      <c r="Z33" s="32">
        <f t="shared" si="34"/>
        <v>16500000</v>
      </c>
      <c r="AA33" s="32">
        <f t="shared" si="35"/>
        <v>11000000</v>
      </c>
      <c r="AB33" s="31">
        <v>55000000</v>
      </c>
      <c r="AC33" s="43">
        <v>200</v>
      </c>
      <c r="AD33" s="44">
        <v>4</v>
      </c>
      <c r="AE33" s="12">
        <f t="shared" si="36"/>
        <v>16000000</v>
      </c>
      <c r="AF33" s="12">
        <f t="shared" si="36"/>
        <v>64000000</v>
      </c>
      <c r="AG33" s="12">
        <f t="shared" si="36"/>
        <v>48000000</v>
      </c>
      <c r="AH33" s="12">
        <f t="shared" si="36"/>
        <v>32000000</v>
      </c>
      <c r="AI33" s="12">
        <f t="shared" si="36"/>
        <v>160000000</v>
      </c>
      <c r="AJ33" s="12">
        <f t="shared" si="37"/>
        <v>530</v>
      </c>
      <c r="AK33" s="12">
        <f t="shared" si="37"/>
        <v>12</v>
      </c>
      <c r="AL33" s="13">
        <f t="shared" si="17"/>
        <v>30</v>
      </c>
      <c r="AM33" s="13">
        <f t="shared" si="18"/>
        <v>20</v>
      </c>
      <c r="AN33" s="13">
        <f>P33-'[14]THÁNG 7'!L31</f>
        <v>0</v>
      </c>
      <c r="AO33" s="7"/>
      <c r="AP33" s="7"/>
      <c r="AQ33" s="7"/>
      <c r="AR33" s="7"/>
      <c r="AS33" s="7"/>
      <c r="AT33" s="7"/>
      <c r="AU33" s="7"/>
      <c r="AV33" s="7"/>
      <c r="AW33" s="7"/>
      <c r="AX33" s="7"/>
    </row>
    <row r="34" spans="1:50" s="23" customFormat="1" ht="14.25" customHeight="1" x14ac:dyDescent="0.15">
      <c r="A34" s="34" t="s">
        <v>95</v>
      </c>
      <c r="B34" s="20"/>
      <c r="C34" s="20" t="s">
        <v>96</v>
      </c>
      <c r="D34" s="20"/>
      <c r="E34" s="20"/>
      <c r="F34" s="36">
        <f t="shared" ref="F34:M34" si="38">SUM(F27:F33)</f>
        <v>208955142.85714287</v>
      </c>
      <c r="G34" s="36">
        <f t="shared" si="38"/>
        <v>177054238.09523809</v>
      </c>
      <c r="H34" s="36">
        <f t="shared" si="38"/>
        <v>246579714.2857143</v>
      </c>
      <c r="I34" s="36">
        <f t="shared" si="38"/>
        <v>210863031.74603173</v>
      </c>
      <c r="J34" s="36">
        <f t="shared" si="38"/>
        <v>41000000</v>
      </c>
      <c r="K34" s="36">
        <f t="shared" si="38"/>
        <v>164000000</v>
      </c>
      <c r="L34" s="36">
        <f t="shared" si="38"/>
        <v>123000000</v>
      </c>
      <c r="M34" s="36">
        <f t="shared" si="38"/>
        <v>82000000</v>
      </c>
      <c r="N34" s="37">
        <f t="shared" ref="N34:AK34" si="39">SUM(N27:N33)</f>
        <v>410000000</v>
      </c>
      <c r="O34" s="37">
        <f t="shared" si="39"/>
        <v>1620</v>
      </c>
      <c r="P34" s="37">
        <f t="shared" si="39"/>
        <v>32</v>
      </c>
      <c r="Q34" s="37">
        <f t="shared" si="39"/>
        <v>44500000</v>
      </c>
      <c r="R34" s="37">
        <f t="shared" si="39"/>
        <v>178000000</v>
      </c>
      <c r="S34" s="37">
        <f t="shared" si="39"/>
        <v>133500000</v>
      </c>
      <c r="T34" s="37">
        <f t="shared" si="39"/>
        <v>89000000</v>
      </c>
      <c r="U34" s="37">
        <f t="shared" si="39"/>
        <v>445000000</v>
      </c>
      <c r="V34" s="37">
        <f t="shared" si="39"/>
        <v>1760</v>
      </c>
      <c r="W34" s="37">
        <f t="shared" si="39"/>
        <v>29</v>
      </c>
      <c r="X34" s="37">
        <f t="shared" si="39"/>
        <v>46500000</v>
      </c>
      <c r="Y34" s="37">
        <f t="shared" si="39"/>
        <v>186000000</v>
      </c>
      <c r="Z34" s="37">
        <f t="shared" si="39"/>
        <v>139500000</v>
      </c>
      <c r="AA34" s="37">
        <f t="shared" si="39"/>
        <v>93000000</v>
      </c>
      <c r="AB34" s="37">
        <f t="shared" si="39"/>
        <v>465000000</v>
      </c>
      <c r="AC34" s="37">
        <f t="shared" si="39"/>
        <v>1905</v>
      </c>
      <c r="AD34" s="37">
        <f t="shared" si="39"/>
        <v>24</v>
      </c>
      <c r="AE34" s="37">
        <f t="shared" si="39"/>
        <v>132000000</v>
      </c>
      <c r="AF34" s="37">
        <f t="shared" si="39"/>
        <v>528000000</v>
      </c>
      <c r="AG34" s="37">
        <f t="shared" si="39"/>
        <v>396000000</v>
      </c>
      <c r="AH34" s="37">
        <f t="shared" si="39"/>
        <v>264000000</v>
      </c>
      <c r="AI34" s="37">
        <f t="shared" si="39"/>
        <v>1320000000</v>
      </c>
      <c r="AJ34" s="37">
        <f t="shared" si="39"/>
        <v>5285</v>
      </c>
      <c r="AK34" s="37">
        <f t="shared" si="39"/>
        <v>85</v>
      </c>
      <c r="AL34" s="13">
        <f t="shared" si="17"/>
        <v>140</v>
      </c>
      <c r="AM34" s="13">
        <f t="shared" si="18"/>
        <v>145</v>
      </c>
      <c r="AN34" s="13">
        <f>P34-'[14]THÁNG 7'!L32</f>
        <v>0</v>
      </c>
      <c r="AO34" s="7"/>
      <c r="AP34" s="7"/>
      <c r="AQ34" s="7"/>
      <c r="AR34" s="7"/>
      <c r="AS34" s="7"/>
      <c r="AT34" s="7"/>
      <c r="AU34" s="7"/>
      <c r="AV34" s="7"/>
      <c r="AW34" s="7"/>
      <c r="AX34" s="7"/>
    </row>
    <row r="35" spans="1:50" ht="14.25" customHeight="1" x14ac:dyDescent="0.15">
      <c r="A35" s="24">
        <v>1</v>
      </c>
      <c r="B35" s="41" t="s">
        <v>97</v>
      </c>
      <c r="C35" s="41" t="s">
        <v>98</v>
      </c>
      <c r="D35" s="41" t="s">
        <v>99</v>
      </c>
      <c r="E35" s="41" t="s">
        <v>100</v>
      </c>
      <c r="F35" s="26">
        <v>51776142.857142851</v>
      </c>
      <c r="G35" s="26">
        <v>13790000</v>
      </c>
      <c r="H35" s="26">
        <v>35206428.571428567</v>
      </c>
      <c r="I35" s="27">
        <f t="shared" si="16"/>
        <v>33590857.142857142</v>
      </c>
      <c r="J35" s="12">
        <f t="shared" ref="J35:J43" si="40">J$9*N35</f>
        <v>5000000</v>
      </c>
      <c r="K35" s="12">
        <f t="shared" ref="K35:K43" si="41">K$9*N35</f>
        <v>20000000</v>
      </c>
      <c r="L35" s="12">
        <f t="shared" ref="L35:L43" si="42">L$9*N35</f>
        <v>15000000</v>
      </c>
      <c r="M35" s="12">
        <f t="shared" ref="M35:M43" si="43">M$9*N35</f>
        <v>10000000</v>
      </c>
      <c r="N35" s="28">
        <v>50000000</v>
      </c>
      <c r="O35" s="29">
        <v>250</v>
      </c>
      <c r="P35" s="30">
        <v>4</v>
      </c>
      <c r="Q35" s="12">
        <f t="shared" ref="Q35:Q43" si="44">Q$9*U35</f>
        <v>5500000</v>
      </c>
      <c r="R35" s="12">
        <f t="shared" ref="R35:R43" si="45">R$9*U35</f>
        <v>22000000</v>
      </c>
      <c r="S35" s="12">
        <f t="shared" ref="S35:S43" si="46">S$9*U35</f>
        <v>16500000</v>
      </c>
      <c r="T35" s="12">
        <f t="shared" ref="T35:T43" si="47">T$9*U35</f>
        <v>11000000</v>
      </c>
      <c r="U35" s="31">
        <v>55000000</v>
      </c>
      <c r="V35" s="29">
        <v>250</v>
      </c>
      <c r="W35" s="30">
        <v>3</v>
      </c>
      <c r="X35" s="32">
        <f t="shared" ref="X35:X43" si="48">X$9*AB35</f>
        <v>6000000</v>
      </c>
      <c r="Y35" s="32">
        <f t="shared" ref="Y35:Y43" si="49">Y$9*AB35</f>
        <v>24000000</v>
      </c>
      <c r="Z35" s="32">
        <f t="shared" ref="Z35:Z43" si="50">Z$9*AB35</f>
        <v>18000000</v>
      </c>
      <c r="AA35" s="32">
        <f t="shared" ref="AA35:AA43" si="51">AA$9*AB35</f>
        <v>12000000</v>
      </c>
      <c r="AB35" s="31">
        <v>60000000</v>
      </c>
      <c r="AC35" s="29">
        <v>250</v>
      </c>
      <c r="AD35" s="30">
        <v>2</v>
      </c>
      <c r="AE35" s="12">
        <f t="shared" ref="AE35:AI43" si="52">SUMIF($J$12:$AB$12,AE$12,$J35:$AB35)</f>
        <v>16500000</v>
      </c>
      <c r="AF35" s="12">
        <f t="shared" si="52"/>
        <v>66000000</v>
      </c>
      <c r="AG35" s="12">
        <f t="shared" si="52"/>
        <v>49500000</v>
      </c>
      <c r="AH35" s="12">
        <f t="shared" si="52"/>
        <v>33000000</v>
      </c>
      <c r="AI35" s="12">
        <f t="shared" si="52"/>
        <v>165000000</v>
      </c>
      <c r="AJ35" s="12">
        <f t="shared" ref="AJ35:AK43" si="53">SUMIF($J$11:$AD$11,AJ$11,$J35:$AD35)</f>
        <v>750</v>
      </c>
      <c r="AK35" s="12">
        <f t="shared" si="53"/>
        <v>9</v>
      </c>
      <c r="AL35" s="13">
        <f t="shared" si="17"/>
        <v>0</v>
      </c>
      <c r="AM35" s="13">
        <f t="shared" si="18"/>
        <v>0</v>
      </c>
      <c r="AN35" s="13">
        <f>P35-'[14]THÁNG 7'!L33</f>
        <v>0</v>
      </c>
    </row>
    <row r="36" spans="1:50" ht="14.25" customHeight="1" x14ac:dyDescent="0.15">
      <c r="A36" s="24">
        <v>2</v>
      </c>
      <c r="B36" s="41" t="s">
        <v>101</v>
      </c>
      <c r="C36" s="41" t="s">
        <v>102</v>
      </c>
      <c r="D36" s="41" t="s">
        <v>103</v>
      </c>
      <c r="E36" s="41" t="s">
        <v>104</v>
      </c>
      <c r="F36" s="26">
        <f>SUMIF('[14]DS đạt từ T1-4'!$D:$D,'Quý 3,2025'!$C36,'[14]DS đạt từ T1-4'!$AI:$AI)</f>
        <v>51048571.428571425</v>
      </c>
      <c r="G36" s="26">
        <f>SUMIF('[14]DS đạt từ T1-4'!$D:$D,'Quý 3,2025'!$C36,'[14]DS đạt từ T1-4'!$AN:$AN)</f>
        <v>20794285.714285716</v>
      </c>
      <c r="H36" s="26">
        <f>SUMIF([14]T5!D:D,'Quý 3,2025'!C36,[14]T5!AF:AF)</f>
        <v>35833857.142857142</v>
      </c>
      <c r="I36" s="27">
        <f t="shared" si="16"/>
        <v>35892238.09523809</v>
      </c>
      <c r="J36" s="12">
        <f t="shared" si="40"/>
        <v>5000000</v>
      </c>
      <c r="K36" s="12">
        <f t="shared" si="41"/>
        <v>20000000</v>
      </c>
      <c r="L36" s="12">
        <f t="shared" si="42"/>
        <v>15000000</v>
      </c>
      <c r="M36" s="12">
        <f t="shared" si="43"/>
        <v>10000000</v>
      </c>
      <c r="N36" s="28">
        <v>50000000</v>
      </c>
      <c r="O36" s="40">
        <v>250</v>
      </c>
      <c r="P36" s="40">
        <v>3</v>
      </c>
      <c r="Q36" s="12">
        <f t="shared" si="44"/>
        <v>5500000</v>
      </c>
      <c r="R36" s="12">
        <f t="shared" si="45"/>
        <v>22000000</v>
      </c>
      <c r="S36" s="12">
        <f t="shared" si="46"/>
        <v>16500000</v>
      </c>
      <c r="T36" s="12">
        <f t="shared" si="47"/>
        <v>11000000</v>
      </c>
      <c r="U36" s="31">
        <v>55000000</v>
      </c>
      <c r="V36" s="40">
        <v>250</v>
      </c>
      <c r="W36" s="40">
        <v>3</v>
      </c>
      <c r="X36" s="32">
        <f t="shared" si="48"/>
        <v>6000000</v>
      </c>
      <c r="Y36" s="32">
        <f t="shared" si="49"/>
        <v>24000000</v>
      </c>
      <c r="Z36" s="32">
        <f t="shared" si="50"/>
        <v>18000000</v>
      </c>
      <c r="AA36" s="32">
        <f t="shared" si="51"/>
        <v>12000000</v>
      </c>
      <c r="AB36" s="31">
        <v>60000000</v>
      </c>
      <c r="AC36" s="40">
        <v>250</v>
      </c>
      <c r="AD36" s="40">
        <v>2</v>
      </c>
      <c r="AE36" s="12">
        <f t="shared" si="52"/>
        <v>16500000</v>
      </c>
      <c r="AF36" s="12">
        <f t="shared" si="52"/>
        <v>66000000</v>
      </c>
      <c r="AG36" s="12">
        <f t="shared" si="52"/>
        <v>49500000</v>
      </c>
      <c r="AH36" s="12">
        <f t="shared" si="52"/>
        <v>33000000</v>
      </c>
      <c r="AI36" s="12">
        <f t="shared" si="52"/>
        <v>165000000</v>
      </c>
      <c r="AJ36" s="12">
        <f t="shared" si="53"/>
        <v>750</v>
      </c>
      <c r="AK36" s="12">
        <f t="shared" si="53"/>
        <v>8</v>
      </c>
      <c r="AL36" s="13">
        <f t="shared" si="17"/>
        <v>0</v>
      </c>
      <c r="AM36" s="13">
        <f t="shared" si="18"/>
        <v>0</v>
      </c>
      <c r="AN36" s="13">
        <f>P36-'[14]THÁNG 7'!L34</f>
        <v>0</v>
      </c>
    </row>
    <row r="37" spans="1:50" ht="14.25" customHeight="1" x14ac:dyDescent="0.15">
      <c r="A37" s="24">
        <v>3</v>
      </c>
      <c r="B37" s="41" t="s">
        <v>105</v>
      </c>
      <c r="C37" s="41" t="s">
        <v>106</v>
      </c>
      <c r="D37" s="41" t="s">
        <v>107</v>
      </c>
      <c r="E37" s="41" t="s">
        <v>108</v>
      </c>
      <c r="F37" s="26">
        <f>SUMIF('[14]DS đạt từ T1-4'!$D:$D,'Quý 3,2025'!$C37,'[14]DS đạt từ T1-4'!$AI:$AI)</f>
        <v>68412380.952380955</v>
      </c>
      <c r="G37" s="26">
        <f>SUMIF('[14]DS đạt từ T1-4'!$D:$D,'Quý 3,2025'!$C37,'[14]DS đạt từ T1-4'!$AN:$AN)</f>
        <v>80407190.476190478</v>
      </c>
      <c r="H37" s="26">
        <f>SUMIF([14]T5!D:D,'Quý 3,2025'!C37,[14]T5!AF:AF)</f>
        <v>82926380.952380955</v>
      </c>
      <c r="I37" s="27">
        <f t="shared" si="16"/>
        <v>77248650.793650791</v>
      </c>
      <c r="J37" s="12">
        <f t="shared" si="40"/>
        <v>8000000</v>
      </c>
      <c r="K37" s="12">
        <f t="shared" si="41"/>
        <v>32000000</v>
      </c>
      <c r="L37" s="12">
        <f t="shared" si="42"/>
        <v>24000000</v>
      </c>
      <c r="M37" s="12">
        <f t="shared" si="43"/>
        <v>16000000</v>
      </c>
      <c r="N37" s="28">
        <v>80000000</v>
      </c>
      <c r="O37" s="29">
        <v>300</v>
      </c>
      <c r="P37" s="30">
        <v>3</v>
      </c>
      <c r="Q37" s="12">
        <f t="shared" si="44"/>
        <v>8000000</v>
      </c>
      <c r="R37" s="12">
        <f t="shared" si="45"/>
        <v>32000000</v>
      </c>
      <c r="S37" s="12">
        <f t="shared" si="46"/>
        <v>24000000</v>
      </c>
      <c r="T37" s="12">
        <f t="shared" si="47"/>
        <v>16000000</v>
      </c>
      <c r="U37" s="31">
        <v>80000000</v>
      </c>
      <c r="V37" s="29">
        <v>320</v>
      </c>
      <c r="W37" s="30">
        <v>2</v>
      </c>
      <c r="X37" s="32">
        <f t="shared" si="48"/>
        <v>8500000</v>
      </c>
      <c r="Y37" s="32">
        <f t="shared" si="49"/>
        <v>34000000</v>
      </c>
      <c r="Z37" s="32">
        <f t="shared" si="50"/>
        <v>25500000</v>
      </c>
      <c r="AA37" s="32">
        <f t="shared" si="51"/>
        <v>17000000</v>
      </c>
      <c r="AB37" s="31">
        <v>85000000</v>
      </c>
      <c r="AC37" s="29">
        <v>330</v>
      </c>
      <c r="AD37" s="30">
        <v>2</v>
      </c>
      <c r="AE37" s="12">
        <f t="shared" si="52"/>
        <v>24500000</v>
      </c>
      <c r="AF37" s="12">
        <f t="shared" si="52"/>
        <v>98000000</v>
      </c>
      <c r="AG37" s="12">
        <f t="shared" si="52"/>
        <v>73500000</v>
      </c>
      <c r="AH37" s="12">
        <f t="shared" si="52"/>
        <v>49000000</v>
      </c>
      <c r="AI37" s="12">
        <f t="shared" si="52"/>
        <v>245000000</v>
      </c>
      <c r="AJ37" s="12">
        <f t="shared" si="53"/>
        <v>950</v>
      </c>
      <c r="AK37" s="12">
        <f t="shared" si="53"/>
        <v>7</v>
      </c>
      <c r="AL37" s="13">
        <f t="shared" si="17"/>
        <v>20</v>
      </c>
      <c r="AM37" s="13">
        <f t="shared" si="18"/>
        <v>10</v>
      </c>
      <c r="AN37" s="13">
        <f>P37-'[14]THÁNG 7'!L35</f>
        <v>0</v>
      </c>
    </row>
    <row r="38" spans="1:50" ht="14.25" customHeight="1" x14ac:dyDescent="0.15">
      <c r="A38" s="24">
        <v>4</v>
      </c>
      <c r="B38" s="41" t="s">
        <v>109</v>
      </c>
      <c r="C38" s="41" t="s">
        <v>110</v>
      </c>
      <c r="D38" s="41" t="s">
        <v>111</v>
      </c>
      <c r="E38" s="41" t="s">
        <v>112</v>
      </c>
      <c r="F38" s="26">
        <f>SUMIF('[14]DS đạt từ T1-4'!$D:$D,'Quý 3,2025'!$C38,'[14]DS đạt từ T1-4'!$AI:$AI)</f>
        <v>0</v>
      </c>
      <c r="G38" s="26">
        <f>SUMIF('[14]DS đạt từ T1-4'!$D:$D,'Quý 3,2025'!$C38,'[14]DS đạt từ T1-4'!$AN:$AN)</f>
        <v>0</v>
      </c>
      <c r="H38" s="26">
        <f>SUMIF([14]T5!D:D,'Quý 3,2025'!C38,[14]T5!AF:AF)</f>
        <v>11315714.285714285</v>
      </c>
      <c r="I38" s="27">
        <f t="shared" si="16"/>
        <v>3771904.7619047617</v>
      </c>
      <c r="J38" s="12">
        <f t="shared" si="40"/>
        <v>3000000</v>
      </c>
      <c r="K38" s="12">
        <f t="shared" si="41"/>
        <v>12000000</v>
      </c>
      <c r="L38" s="12">
        <f t="shared" si="42"/>
        <v>9000000</v>
      </c>
      <c r="M38" s="12">
        <f t="shared" si="43"/>
        <v>6000000</v>
      </c>
      <c r="N38" s="28">
        <v>30000000</v>
      </c>
      <c r="O38" s="29">
        <v>150</v>
      </c>
      <c r="P38" s="30">
        <v>3</v>
      </c>
      <c r="Q38" s="12">
        <f t="shared" si="44"/>
        <v>3000000</v>
      </c>
      <c r="R38" s="12">
        <f t="shared" si="45"/>
        <v>12000000</v>
      </c>
      <c r="S38" s="12">
        <f t="shared" si="46"/>
        <v>9000000</v>
      </c>
      <c r="T38" s="12">
        <f t="shared" si="47"/>
        <v>6000000</v>
      </c>
      <c r="U38" s="31">
        <v>30000000</v>
      </c>
      <c r="V38" s="29">
        <v>180</v>
      </c>
      <c r="W38" s="30">
        <v>3</v>
      </c>
      <c r="X38" s="32">
        <f t="shared" si="48"/>
        <v>3500000</v>
      </c>
      <c r="Y38" s="32">
        <f t="shared" si="49"/>
        <v>14000000</v>
      </c>
      <c r="Z38" s="32">
        <f t="shared" si="50"/>
        <v>10500000</v>
      </c>
      <c r="AA38" s="32">
        <f t="shared" si="51"/>
        <v>7000000</v>
      </c>
      <c r="AB38" s="31">
        <v>35000000</v>
      </c>
      <c r="AC38" s="29">
        <v>200</v>
      </c>
      <c r="AD38" s="30">
        <v>3</v>
      </c>
      <c r="AE38" s="12">
        <f t="shared" si="52"/>
        <v>9500000</v>
      </c>
      <c r="AF38" s="12">
        <f t="shared" si="52"/>
        <v>38000000</v>
      </c>
      <c r="AG38" s="12">
        <f t="shared" si="52"/>
        <v>28500000</v>
      </c>
      <c r="AH38" s="12">
        <f t="shared" si="52"/>
        <v>19000000</v>
      </c>
      <c r="AI38" s="12">
        <f t="shared" si="52"/>
        <v>95000000</v>
      </c>
      <c r="AJ38" s="12">
        <f t="shared" si="53"/>
        <v>530</v>
      </c>
      <c r="AK38" s="12">
        <f t="shared" si="53"/>
        <v>9</v>
      </c>
      <c r="AL38" s="13">
        <f t="shared" si="17"/>
        <v>30</v>
      </c>
      <c r="AM38" s="13">
        <f t="shared" si="18"/>
        <v>20</v>
      </c>
      <c r="AN38" s="13">
        <f>P38-'[14]THÁNG 7'!L36</f>
        <v>0</v>
      </c>
    </row>
    <row r="39" spans="1:50" ht="14.25" customHeight="1" x14ac:dyDescent="0.15">
      <c r="A39" s="24">
        <v>5</v>
      </c>
      <c r="B39" s="41" t="s">
        <v>113</v>
      </c>
      <c r="C39" s="41" t="s">
        <v>114</v>
      </c>
      <c r="D39" s="41" t="s">
        <v>115</v>
      </c>
      <c r="E39" s="41" t="s">
        <v>116</v>
      </c>
      <c r="F39" s="26">
        <f>SUMIF('[14]DS đạt từ T1-4'!$D:$D,'Quý 3,2025'!$C39,'[14]DS đạt từ T1-4'!$AI:$AI)</f>
        <v>38598142.857142858</v>
      </c>
      <c r="G39" s="26">
        <f>SUMIF('[14]DS đạt từ T1-4'!$D:$D,'Quý 3,2025'!$C39,'[14]DS đạt từ T1-4'!$AN:$AN)</f>
        <v>1028571.4285714285</v>
      </c>
      <c r="H39" s="26">
        <f>SUMIF([14]T5!D:D,'Quý 3,2025'!C39,[14]T5!AF:AF)</f>
        <v>17607428.571428571</v>
      </c>
      <c r="I39" s="27">
        <f t="shared" si="16"/>
        <v>19078047.619047616</v>
      </c>
      <c r="J39" s="12">
        <f t="shared" si="40"/>
        <v>3000000</v>
      </c>
      <c r="K39" s="12">
        <f t="shared" si="41"/>
        <v>12000000</v>
      </c>
      <c r="L39" s="12">
        <f t="shared" si="42"/>
        <v>9000000</v>
      </c>
      <c r="M39" s="12">
        <f t="shared" si="43"/>
        <v>6000000</v>
      </c>
      <c r="N39" s="28">
        <v>30000000</v>
      </c>
      <c r="O39" s="29">
        <v>150</v>
      </c>
      <c r="P39" s="30">
        <v>3</v>
      </c>
      <c r="Q39" s="12">
        <f t="shared" si="44"/>
        <v>3000000</v>
      </c>
      <c r="R39" s="12">
        <f t="shared" si="45"/>
        <v>12000000</v>
      </c>
      <c r="S39" s="12">
        <f t="shared" si="46"/>
        <v>9000000</v>
      </c>
      <c r="T39" s="12">
        <f t="shared" si="47"/>
        <v>6000000</v>
      </c>
      <c r="U39" s="31">
        <v>30000000</v>
      </c>
      <c r="V39" s="29">
        <v>180</v>
      </c>
      <c r="W39" s="30">
        <v>3</v>
      </c>
      <c r="X39" s="32">
        <f t="shared" si="48"/>
        <v>3500000</v>
      </c>
      <c r="Y39" s="32">
        <f t="shared" si="49"/>
        <v>14000000</v>
      </c>
      <c r="Z39" s="32">
        <f t="shared" si="50"/>
        <v>10500000</v>
      </c>
      <c r="AA39" s="32">
        <f t="shared" si="51"/>
        <v>7000000</v>
      </c>
      <c r="AB39" s="31">
        <v>35000000</v>
      </c>
      <c r="AC39" s="29">
        <v>200</v>
      </c>
      <c r="AD39" s="30">
        <v>2</v>
      </c>
      <c r="AE39" s="12">
        <f t="shared" si="52"/>
        <v>9500000</v>
      </c>
      <c r="AF39" s="12">
        <f t="shared" si="52"/>
        <v>38000000</v>
      </c>
      <c r="AG39" s="12">
        <f t="shared" si="52"/>
        <v>28500000</v>
      </c>
      <c r="AH39" s="12">
        <f t="shared" si="52"/>
        <v>19000000</v>
      </c>
      <c r="AI39" s="12">
        <f t="shared" si="52"/>
        <v>95000000</v>
      </c>
      <c r="AJ39" s="12">
        <f t="shared" si="53"/>
        <v>530</v>
      </c>
      <c r="AK39" s="12">
        <f t="shared" si="53"/>
        <v>8</v>
      </c>
      <c r="AL39" s="13">
        <f t="shared" si="17"/>
        <v>30</v>
      </c>
      <c r="AM39" s="13">
        <f t="shared" si="18"/>
        <v>20</v>
      </c>
      <c r="AN39" s="13">
        <f>P39-'[14]THÁNG 7'!L37</f>
        <v>0</v>
      </c>
    </row>
    <row r="40" spans="1:50" s="1" customFormat="1" ht="14.25" customHeight="1" x14ac:dyDescent="0.15">
      <c r="A40" s="24">
        <v>6</v>
      </c>
      <c r="B40" s="41" t="s">
        <v>117</v>
      </c>
      <c r="C40" s="41" t="s">
        <v>118</v>
      </c>
      <c r="D40" s="41" t="s">
        <v>115</v>
      </c>
      <c r="E40" s="41" t="s">
        <v>119</v>
      </c>
      <c r="F40" s="26">
        <f>SUMIF('[14]DS đạt từ T1-4'!$D:$D,'Quý 3,2025'!$C40,'[14]DS đạt từ T1-4'!$AI:$AI)</f>
        <v>23716428.571428571</v>
      </c>
      <c r="G40" s="26">
        <f>SUMIF('[14]DS đạt từ T1-4'!$D:$D,'Quý 3,2025'!$C40,'[14]DS đạt từ T1-4'!$AN:$AN)</f>
        <v>7000000</v>
      </c>
      <c r="H40" s="26">
        <f>SUMIF([14]T5!D:D,'Quý 3,2025'!C40,[14]T5!AF:AF)</f>
        <v>33214523.809523806</v>
      </c>
      <c r="I40" s="27">
        <f t="shared" si="16"/>
        <v>21310317.460317459</v>
      </c>
      <c r="J40" s="12">
        <f t="shared" si="40"/>
        <v>3000000</v>
      </c>
      <c r="K40" s="12">
        <f t="shared" si="41"/>
        <v>12000000</v>
      </c>
      <c r="L40" s="12">
        <f t="shared" si="42"/>
        <v>9000000</v>
      </c>
      <c r="M40" s="12">
        <f t="shared" si="43"/>
        <v>6000000</v>
      </c>
      <c r="N40" s="28">
        <v>30000000</v>
      </c>
      <c r="O40" s="29">
        <v>150</v>
      </c>
      <c r="P40" s="30">
        <v>3</v>
      </c>
      <c r="Q40" s="12">
        <f t="shared" si="44"/>
        <v>3000000</v>
      </c>
      <c r="R40" s="12">
        <f t="shared" si="45"/>
        <v>12000000</v>
      </c>
      <c r="S40" s="12">
        <f t="shared" si="46"/>
        <v>9000000</v>
      </c>
      <c r="T40" s="12">
        <f t="shared" si="47"/>
        <v>6000000</v>
      </c>
      <c r="U40" s="31">
        <v>30000000</v>
      </c>
      <c r="V40" s="29">
        <v>150</v>
      </c>
      <c r="W40" s="30">
        <v>3</v>
      </c>
      <c r="X40" s="32">
        <f t="shared" si="48"/>
        <v>3500000</v>
      </c>
      <c r="Y40" s="32">
        <f t="shared" si="49"/>
        <v>14000000</v>
      </c>
      <c r="Z40" s="32">
        <f t="shared" si="50"/>
        <v>10500000</v>
      </c>
      <c r="AA40" s="32">
        <f t="shared" si="51"/>
        <v>7000000</v>
      </c>
      <c r="AB40" s="31">
        <v>35000000</v>
      </c>
      <c r="AC40" s="29">
        <v>170</v>
      </c>
      <c r="AD40" s="30">
        <v>2</v>
      </c>
      <c r="AE40" s="12">
        <f t="shared" si="52"/>
        <v>9500000</v>
      </c>
      <c r="AF40" s="12">
        <f t="shared" si="52"/>
        <v>38000000</v>
      </c>
      <c r="AG40" s="12">
        <f t="shared" si="52"/>
        <v>28500000</v>
      </c>
      <c r="AH40" s="12">
        <f t="shared" si="52"/>
        <v>19000000</v>
      </c>
      <c r="AI40" s="12">
        <f t="shared" si="52"/>
        <v>95000000</v>
      </c>
      <c r="AJ40" s="12">
        <f t="shared" si="53"/>
        <v>470</v>
      </c>
      <c r="AK40" s="12">
        <f t="shared" si="53"/>
        <v>8</v>
      </c>
      <c r="AL40" s="13">
        <f t="shared" si="17"/>
        <v>0</v>
      </c>
      <c r="AM40" s="13">
        <f t="shared" si="18"/>
        <v>20</v>
      </c>
      <c r="AN40" s="13">
        <f>P40-'[14]THÁNG 7'!L38</f>
        <v>0</v>
      </c>
      <c r="AO40" s="7"/>
      <c r="AP40" s="7"/>
      <c r="AQ40" s="7"/>
      <c r="AR40" s="7"/>
      <c r="AS40" s="7"/>
      <c r="AT40" s="7"/>
      <c r="AU40" s="7"/>
      <c r="AV40" s="7"/>
      <c r="AW40" s="7"/>
      <c r="AX40" s="7"/>
    </row>
    <row r="41" spans="1:50" ht="14.25" customHeight="1" x14ac:dyDescent="0.15">
      <c r="A41" s="24">
        <v>7</v>
      </c>
      <c r="B41" s="41" t="s">
        <v>120</v>
      </c>
      <c r="C41" s="41" t="s">
        <v>98</v>
      </c>
      <c r="D41" s="41" t="s">
        <v>115</v>
      </c>
      <c r="E41" s="41" t="s">
        <v>121</v>
      </c>
      <c r="F41" s="26">
        <f>SUMIF('[14]DS đạt từ T1-4'!$D:$D,'Quý 3,2025'!$C41,'[14]DS đạt từ T1-4'!$AI:$AI)</f>
        <v>0</v>
      </c>
      <c r="G41" s="26">
        <f>SUMIF('[14]DS đạt từ T1-4'!$D:$D,'Quý 3,2025'!$C41,'[14]DS đạt từ T1-4'!$AN:$AN)</f>
        <v>0</v>
      </c>
      <c r="H41" s="26">
        <f>SUMIF([14]T5!D:D,'Quý 3,2025'!C41,[14]T5!AF:AF)</f>
        <v>0</v>
      </c>
      <c r="I41" s="27">
        <f t="shared" si="16"/>
        <v>0</v>
      </c>
      <c r="J41" s="12">
        <f t="shared" si="40"/>
        <v>3000000</v>
      </c>
      <c r="K41" s="12">
        <f t="shared" si="41"/>
        <v>12000000</v>
      </c>
      <c r="L41" s="12">
        <f t="shared" si="42"/>
        <v>9000000</v>
      </c>
      <c r="M41" s="12">
        <f t="shared" si="43"/>
        <v>6000000</v>
      </c>
      <c r="N41" s="28">
        <v>30000000</v>
      </c>
      <c r="O41" s="29">
        <v>50</v>
      </c>
      <c r="P41" s="30">
        <v>3</v>
      </c>
      <c r="Q41" s="12">
        <f t="shared" si="44"/>
        <v>3000000</v>
      </c>
      <c r="R41" s="12">
        <f t="shared" si="45"/>
        <v>12000000</v>
      </c>
      <c r="S41" s="12">
        <f t="shared" si="46"/>
        <v>9000000</v>
      </c>
      <c r="T41" s="12">
        <f t="shared" si="47"/>
        <v>6000000</v>
      </c>
      <c r="U41" s="31">
        <v>30000000</v>
      </c>
      <c r="V41" s="29">
        <v>50</v>
      </c>
      <c r="W41" s="30">
        <v>3</v>
      </c>
      <c r="X41" s="32">
        <f t="shared" si="48"/>
        <v>3500000</v>
      </c>
      <c r="Y41" s="32">
        <f t="shared" si="49"/>
        <v>14000000</v>
      </c>
      <c r="Z41" s="32">
        <f t="shared" si="50"/>
        <v>10500000</v>
      </c>
      <c r="AA41" s="32">
        <f t="shared" si="51"/>
        <v>7000000</v>
      </c>
      <c r="AB41" s="31">
        <v>35000000</v>
      </c>
      <c r="AC41" s="29">
        <v>50</v>
      </c>
      <c r="AD41" s="30">
        <v>3</v>
      </c>
      <c r="AE41" s="12">
        <f t="shared" si="52"/>
        <v>9500000</v>
      </c>
      <c r="AF41" s="12">
        <f t="shared" si="52"/>
        <v>38000000</v>
      </c>
      <c r="AG41" s="12">
        <f t="shared" si="52"/>
        <v>28500000</v>
      </c>
      <c r="AH41" s="12">
        <f t="shared" si="52"/>
        <v>19000000</v>
      </c>
      <c r="AI41" s="12">
        <f t="shared" si="52"/>
        <v>95000000</v>
      </c>
      <c r="AJ41" s="12">
        <f t="shared" si="53"/>
        <v>150</v>
      </c>
      <c r="AK41" s="12">
        <f t="shared" si="53"/>
        <v>9</v>
      </c>
      <c r="AL41" s="13">
        <f t="shared" si="17"/>
        <v>0</v>
      </c>
      <c r="AM41" s="13">
        <f t="shared" si="18"/>
        <v>0</v>
      </c>
      <c r="AN41" s="13">
        <f>P41-'[14]THÁNG 7'!L39</f>
        <v>0</v>
      </c>
    </row>
    <row r="42" spans="1:50" ht="14.25" customHeight="1" x14ac:dyDescent="0.15">
      <c r="A42" s="24">
        <v>8</v>
      </c>
      <c r="B42" s="41" t="s">
        <v>122</v>
      </c>
      <c r="C42" s="41" t="s">
        <v>123</v>
      </c>
      <c r="D42" s="41" t="s">
        <v>115</v>
      </c>
      <c r="E42" s="41" t="s">
        <v>124</v>
      </c>
      <c r="F42" s="26">
        <f>SUMIF('[14]DS đạt từ T1-4'!$D:$D,'Quý 3,2025'!$C42,'[14]DS đạt từ T1-4'!$AI:$AI)</f>
        <v>90142000</v>
      </c>
      <c r="G42" s="26">
        <f>SUMIF('[14]DS đạt từ T1-4'!$D:$D,'Quý 3,2025'!$C42,'[14]DS đạt từ T1-4'!$AN:$AN)</f>
        <v>97004000</v>
      </c>
      <c r="H42" s="26">
        <f>SUMIF([14]T5!D:D,'Quý 3,2025'!C42,[14]T5!AF:AF)</f>
        <v>96512000</v>
      </c>
      <c r="I42" s="27">
        <f t="shared" si="16"/>
        <v>94552666.666666672</v>
      </c>
      <c r="J42" s="12">
        <f t="shared" si="40"/>
        <v>8000000</v>
      </c>
      <c r="K42" s="12">
        <f t="shared" si="41"/>
        <v>32000000</v>
      </c>
      <c r="L42" s="12">
        <f t="shared" si="42"/>
        <v>24000000</v>
      </c>
      <c r="M42" s="12">
        <f t="shared" si="43"/>
        <v>16000000</v>
      </c>
      <c r="N42" s="28">
        <v>80000000</v>
      </c>
      <c r="O42" s="29"/>
      <c r="P42" s="30"/>
      <c r="Q42" s="12">
        <f t="shared" si="44"/>
        <v>8000000</v>
      </c>
      <c r="R42" s="12">
        <f t="shared" si="45"/>
        <v>32000000</v>
      </c>
      <c r="S42" s="12">
        <f t="shared" si="46"/>
        <v>24000000</v>
      </c>
      <c r="T42" s="12">
        <f t="shared" si="47"/>
        <v>16000000</v>
      </c>
      <c r="U42" s="31">
        <v>80000000</v>
      </c>
      <c r="V42" s="29"/>
      <c r="W42" s="30"/>
      <c r="X42" s="32">
        <f t="shared" si="48"/>
        <v>8000000</v>
      </c>
      <c r="Y42" s="32">
        <f t="shared" si="49"/>
        <v>32000000</v>
      </c>
      <c r="Z42" s="32">
        <f t="shared" si="50"/>
        <v>24000000</v>
      </c>
      <c r="AA42" s="32">
        <f t="shared" si="51"/>
        <v>16000000</v>
      </c>
      <c r="AB42" s="31">
        <v>80000000</v>
      </c>
      <c r="AC42" s="29"/>
      <c r="AD42" s="30"/>
      <c r="AE42" s="12">
        <f t="shared" si="52"/>
        <v>24000000</v>
      </c>
      <c r="AF42" s="12">
        <f t="shared" si="52"/>
        <v>96000000</v>
      </c>
      <c r="AG42" s="12">
        <f t="shared" si="52"/>
        <v>72000000</v>
      </c>
      <c r="AH42" s="12">
        <f t="shared" si="52"/>
        <v>48000000</v>
      </c>
      <c r="AI42" s="12">
        <f t="shared" si="52"/>
        <v>240000000</v>
      </c>
      <c r="AJ42" s="12">
        <f t="shared" si="53"/>
        <v>0</v>
      </c>
      <c r="AK42" s="12">
        <f t="shared" si="53"/>
        <v>0</v>
      </c>
      <c r="AL42" s="13">
        <f t="shared" si="17"/>
        <v>0</v>
      </c>
      <c r="AM42" s="13">
        <f t="shared" si="18"/>
        <v>0</v>
      </c>
      <c r="AN42" s="13">
        <f>P42-'[14]THÁNG 7'!L40</f>
        <v>0</v>
      </c>
    </row>
    <row r="43" spans="1:50" ht="14.25" customHeight="1" x14ac:dyDescent="0.15">
      <c r="A43" s="24">
        <v>9</v>
      </c>
      <c r="B43" s="41" t="s">
        <v>125</v>
      </c>
      <c r="C43" s="41" t="s">
        <v>126</v>
      </c>
      <c r="D43" s="41" t="s">
        <v>115</v>
      </c>
      <c r="E43" s="41" t="s">
        <v>124</v>
      </c>
      <c r="F43" s="33">
        <v>33368571.428571429</v>
      </c>
      <c r="G43" s="33">
        <f>SUMIF('[14]DS đạt từ T1-4'!$D:$D,'Quý 3,2025'!$C43,'[14]DS đạt từ T1-4'!$AN:$AN)</f>
        <v>0</v>
      </c>
      <c r="H43" s="26">
        <f>SUMIF([14]T5!D:D,'Quý 3,2025'!C43,[14]T5!AF:AF)</f>
        <v>14682857.142857142</v>
      </c>
      <c r="I43" s="27">
        <f t="shared" si="16"/>
        <v>16017142.857142856</v>
      </c>
      <c r="J43" s="12">
        <f t="shared" si="40"/>
        <v>3000000</v>
      </c>
      <c r="K43" s="12">
        <f t="shared" si="41"/>
        <v>12000000</v>
      </c>
      <c r="L43" s="12">
        <f t="shared" si="42"/>
        <v>9000000</v>
      </c>
      <c r="M43" s="12">
        <f t="shared" si="43"/>
        <v>6000000</v>
      </c>
      <c r="N43" s="28">
        <v>30000000</v>
      </c>
      <c r="O43" s="29">
        <v>150</v>
      </c>
      <c r="P43" s="30">
        <v>5</v>
      </c>
      <c r="Q43" s="12">
        <f t="shared" si="44"/>
        <v>3500000</v>
      </c>
      <c r="R43" s="12">
        <f t="shared" si="45"/>
        <v>14000000</v>
      </c>
      <c r="S43" s="12">
        <f t="shared" si="46"/>
        <v>10500000</v>
      </c>
      <c r="T43" s="12">
        <f t="shared" si="47"/>
        <v>7000000</v>
      </c>
      <c r="U43" s="31">
        <v>35000000</v>
      </c>
      <c r="V43" s="29">
        <v>170</v>
      </c>
      <c r="W43" s="30">
        <v>4</v>
      </c>
      <c r="X43" s="32">
        <f t="shared" si="48"/>
        <v>4000000</v>
      </c>
      <c r="Y43" s="32">
        <f t="shared" si="49"/>
        <v>16000000</v>
      </c>
      <c r="Z43" s="32">
        <f t="shared" si="50"/>
        <v>12000000</v>
      </c>
      <c r="AA43" s="32">
        <f t="shared" si="51"/>
        <v>8000000</v>
      </c>
      <c r="AB43" s="31">
        <v>40000000</v>
      </c>
      <c r="AC43" s="29">
        <v>230</v>
      </c>
      <c r="AD43" s="30">
        <v>4</v>
      </c>
      <c r="AE43" s="12">
        <f t="shared" si="52"/>
        <v>10500000</v>
      </c>
      <c r="AF43" s="12">
        <f t="shared" si="52"/>
        <v>42000000</v>
      </c>
      <c r="AG43" s="12">
        <f t="shared" si="52"/>
        <v>31500000</v>
      </c>
      <c r="AH43" s="12">
        <f t="shared" si="52"/>
        <v>21000000</v>
      </c>
      <c r="AI43" s="12">
        <f t="shared" si="52"/>
        <v>105000000</v>
      </c>
      <c r="AJ43" s="12">
        <f t="shared" si="53"/>
        <v>550</v>
      </c>
      <c r="AK43" s="12">
        <f t="shared" si="53"/>
        <v>13</v>
      </c>
      <c r="AL43" s="13">
        <f t="shared" si="17"/>
        <v>20</v>
      </c>
      <c r="AM43" s="13">
        <f t="shared" si="18"/>
        <v>60</v>
      </c>
      <c r="AN43" s="13">
        <f>P43-'[14]THÁNG 7'!L41</f>
        <v>0</v>
      </c>
    </row>
    <row r="44" spans="1:50" s="23" customFormat="1" ht="14.25" customHeight="1" x14ac:dyDescent="0.15">
      <c r="A44" s="34" t="s">
        <v>127</v>
      </c>
      <c r="B44" s="45"/>
      <c r="C44" s="45" t="s">
        <v>128</v>
      </c>
      <c r="D44" s="45"/>
      <c r="E44" s="45"/>
      <c r="F44" s="36">
        <f t="shared" ref="F44:P44" si="54">SUM(F35:F43)</f>
        <v>357062238.09523803</v>
      </c>
      <c r="G44" s="36">
        <f t="shared" si="54"/>
        <v>220024047.61904764</v>
      </c>
      <c r="H44" s="36">
        <f t="shared" si="54"/>
        <v>327299190.47619045</v>
      </c>
      <c r="I44" s="36">
        <f t="shared" si="54"/>
        <v>301461825.39682543</v>
      </c>
      <c r="J44" s="36">
        <f t="shared" si="54"/>
        <v>41000000</v>
      </c>
      <c r="K44" s="36">
        <f t="shared" si="54"/>
        <v>164000000</v>
      </c>
      <c r="L44" s="36">
        <f t="shared" si="54"/>
        <v>123000000</v>
      </c>
      <c r="M44" s="36">
        <f t="shared" si="54"/>
        <v>82000000</v>
      </c>
      <c r="N44" s="37">
        <f t="shared" si="54"/>
        <v>410000000</v>
      </c>
      <c r="O44" s="37">
        <f t="shared" si="54"/>
        <v>1450</v>
      </c>
      <c r="P44" s="37">
        <f t="shared" si="54"/>
        <v>27</v>
      </c>
      <c r="Q44" s="36">
        <f t="shared" ref="Q44:AK44" si="55">SUM(Q35:Q43)</f>
        <v>42500000</v>
      </c>
      <c r="R44" s="36">
        <f t="shared" si="55"/>
        <v>170000000</v>
      </c>
      <c r="S44" s="36">
        <f t="shared" si="55"/>
        <v>127500000</v>
      </c>
      <c r="T44" s="36">
        <f t="shared" si="55"/>
        <v>85000000</v>
      </c>
      <c r="U44" s="37">
        <f>SUM(U35:U43)</f>
        <v>425000000</v>
      </c>
      <c r="V44" s="37">
        <f>SUM(V35:V43)</f>
        <v>1550</v>
      </c>
      <c r="W44" s="37">
        <f>SUM(W35:W43)</f>
        <v>24</v>
      </c>
      <c r="X44" s="36">
        <f t="shared" si="55"/>
        <v>46500000</v>
      </c>
      <c r="Y44" s="36">
        <f t="shared" si="55"/>
        <v>186000000</v>
      </c>
      <c r="Z44" s="36">
        <f t="shared" si="55"/>
        <v>139500000</v>
      </c>
      <c r="AA44" s="36">
        <f t="shared" si="55"/>
        <v>93000000</v>
      </c>
      <c r="AB44" s="37">
        <f t="shared" si="55"/>
        <v>465000000</v>
      </c>
      <c r="AC44" s="37">
        <f t="shared" si="55"/>
        <v>1680</v>
      </c>
      <c r="AD44" s="37">
        <f t="shared" si="55"/>
        <v>20</v>
      </c>
      <c r="AE44" s="36">
        <f t="shared" si="55"/>
        <v>130000000</v>
      </c>
      <c r="AF44" s="36">
        <f t="shared" si="55"/>
        <v>520000000</v>
      </c>
      <c r="AG44" s="36">
        <f t="shared" si="55"/>
        <v>390000000</v>
      </c>
      <c r="AH44" s="36">
        <f t="shared" si="55"/>
        <v>260000000</v>
      </c>
      <c r="AI44" s="36">
        <f t="shared" si="55"/>
        <v>1300000000</v>
      </c>
      <c r="AJ44" s="37">
        <f t="shared" si="55"/>
        <v>4680</v>
      </c>
      <c r="AK44" s="37">
        <f t="shared" si="55"/>
        <v>71</v>
      </c>
      <c r="AL44" s="13">
        <f t="shared" si="17"/>
        <v>100</v>
      </c>
      <c r="AM44" s="13">
        <f t="shared" si="18"/>
        <v>130</v>
      </c>
      <c r="AN44" s="13">
        <f>P44-'[14]THÁNG 7'!L42</f>
        <v>0</v>
      </c>
      <c r="AO44" s="7"/>
      <c r="AP44" s="7"/>
      <c r="AQ44" s="7"/>
      <c r="AR44" s="7"/>
      <c r="AS44" s="7"/>
      <c r="AT44" s="7"/>
      <c r="AU44" s="7"/>
      <c r="AV44" s="7"/>
      <c r="AW44" s="7"/>
      <c r="AX44" s="7"/>
    </row>
    <row r="45" spans="1:50" ht="14.25" customHeight="1" x14ac:dyDescent="0.15">
      <c r="A45" s="24">
        <v>1</v>
      </c>
      <c r="B45" s="41" t="s">
        <v>129</v>
      </c>
      <c r="C45" s="41" t="s">
        <v>130</v>
      </c>
      <c r="D45" s="41" t="s">
        <v>115</v>
      </c>
      <c r="E45" s="41" t="s">
        <v>131</v>
      </c>
      <c r="F45" s="26">
        <f>SUMIF('[14]DS đạt từ T1-4'!$D:$D,'Quý 3,2025'!$C45,'[14]DS đạt từ T1-4'!$AI:$AI)</f>
        <v>40643857.142857142</v>
      </c>
      <c r="G45" s="26">
        <f>SUMIF('[14]DS đạt từ T1-4'!$D:$D,'Quý 3,2025'!$C45,'[14]DS đạt từ T1-4'!$AN:$AN)</f>
        <v>15090142.857142856</v>
      </c>
      <c r="H45" s="26">
        <f>SUMIF([14]T5!D:D,'Quý 3,2025'!C45,[14]T5!AF:AF)</f>
        <v>32132619.047619049</v>
      </c>
      <c r="I45" s="27">
        <f t="shared" si="16"/>
        <v>29288873.015873015</v>
      </c>
      <c r="J45" s="12">
        <f t="shared" ref="J45:J52" si="56">J$9*N45</f>
        <v>6000000</v>
      </c>
      <c r="K45" s="12">
        <f t="shared" ref="K45:K52" si="57">K$9*N45</f>
        <v>24000000</v>
      </c>
      <c r="L45" s="12">
        <f t="shared" ref="L45:L52" si="58">L$9*N45</f>
        <v>18000000</v>
      </c>
      <c r="M45" s="12">
        <f t="shared" ref="M45:M52" si="59">M$9*N45</f>
        <v>12000000</v>
      </c>
      <c r="N45" s="28">
        <v>60000000</v>
      </c>
      <c r="O45" s="29">
        <v>220</v>
      </c>
      <c r="P45" s="30">
        <v>4</v>
      </c>
      <c r="Q45" s="12">
        <f t="shared" ref="Q45:Q52" si="60">Q$9*U45</f>
        <v>6500000</v>
      </c>
      <c r="R45" s="12">
        <f t="shared" ref="R45:R52" si="61">R$9*U45</f>
        <v>26000000</v>
      </c>
      <c r="S45" s="12">
        <f t="shared" ref="S45:S52" si="62">S$9*U45</f>
        <v>19500000</v>
      </c>
      <c r="T45" s="12">
        <f t="shared" ref="T45:T52" si="63">T$9*U45</f>
        <v>13000000</v>
      </c>
      <c r="U45" s="31">
        <v>65000000</v>
      </c>
      <c r="V45" s="29">
        <v>220</v>
      </c>
      <c r="W45" s="30">
        <v>3</v>
      </c>
      <c r="X45" s="32">
        <f t="shared" ref="X45:X52" si="64">X$9*AB45</f>
        <v>7000000</v>
      </c>
      <c r="Y45" s="32">
        <f t="shared" ref="Y45:Y52" si="65">Y$9*AB45</f>
        <v>28000000</v>
      </c>
      <c r="Z45" s="32">
        <f t="shared" ref="Z45:Z52" si="66">Z$9*AB45</f>
        <v>21000000</v>
      </c>
      <c r="AA45" s="32">
        <f t="shared" ref="AA45:AA52" si="67">AA$9*AB45</f>
        <v>14000000</v>
      </c>
      <c r="AB45" s="31">
        <v>70000000</v>
      </c>
      <c r="AC45" s="29">
        <v>240</v>
      </c>
      <c r="AD45" s="30">
        <v>3</v>
      </c>
      <c r="AE45" s="12">
        <f t="shared" ref="AE45:AI52" si="68">SUMIF($J$12:$AB$12,AE$12,$J45:$AB45)</f>
        <v>19500000</v>
      </c>
      <c r="AF45" s="12">
        <f t="shared" si="68"/>
        <v>78000000</v>
      </c>
      <c r="AG45" s="12">
        <f t="shared" si="68"/>
        <v>58500000</v>
      </c>
      <c r="AH45" s="12">
        <f t="shared" si="68"/>
        <v>39000000</v>
      </c>
      <c r="AI45" s="12">
        <f t="shared" si="68"/>
        <v>195000000</v>
      </c>
      <c r="AJ45" s="12">
        <f t="shared" ref="AJ45:AK52" si="69">SUMIF($J$11:$AD$11,AJ$11,$J45:$AD45)</f>
        <v>680</v>
      </c>
      <c r="AK45" s="12">
        <f t="shared" si="69"/>
        <v>10</v>
      </c>
      <c r="AL45" s="13">
        <f t="shared" si="17"/>
        <v>0</v>
      </c>
      <c r="AM45" s="13">
        <f t="shared" si="18"/>
        <v>20</v>
      </c>
      <c r="AN45" s="13">
        <f>P45-'[14]THÁNG 7'!L43</f>
        <v>0</v>
      </c>
    </row>
    <row r="46" spans="1:50" ht="14.25" customHeight="1" x14ac:dyDescent="0.15">
      <c r="A46" s="24">
        <v>2</v>
      </c>
      <c r="B46" s="41" t="s">
        <v>132</v>
      </c>
      <c r="C46" s="41" t="s">
        <v>98</v>
      </c>
      <c r="D46" s="41" t="s">
        <v>115</v>
      </c>
      <c r="E46" s="41" t="s">
        <v>133</v>
      </c>
      <c r="F46" s="33">
        <v>2976000</v>
      </c>
      <c r="G46" s="33">
        <v>4290000</v>
      </c>
      <c r="H46" s="26">
        <f>SUMIF([14]T5!D:D,'Quý 3,2025'!C46,[14]T5!AF:AF)</f>
        <v>0</v>
      </c>
      <c r="I46" s="27">
        <f t="shared" si="16"/>
        <v>2422000</v>
      </c>
      <c r="J46" s="12">
        <f t="shared" si="56"/>
        <v>3000000</v>
      </c>
      <c r="K46" s="12">
        <f t="shared" si="57"/>
        <v>12000000</v>
      </c>
      <c r="L46" s="12">
        <f t="shared" si="58"/>
        <v>9000000</v>
      </c>
      <c r="M46" s="12">
        <f t="shared" si="59"/>
        <v>6000000</v>
      </c>
      <c r="N46" s="28">
        <v>30000000</v>
      </c>
      <c r="O46" s="29">
        <v>30</v>
      </c>
      <c r="P46" s="30">
        <v>2</v>
      </c>
      <c r="Q46" s="12">
        <f t="shared" si="60"/>
        <v>3000000</v>
      </c>
      <c r="R46" s="12">
        <f t="shared" si="61"/>
        <v>12000000</v>
      </c>
      <c r="S46" s="12">
        <f t="shared" si="62"/>
        <v>9000000</v>
      </c>
      <c r="T46" s="12">
        <f t="shared" si="63"/>
        <v>6000000</v>
      </c>
      <c r="U46" s="31">
        <v>30000000</v>
      </c>
      <c r="V46" s="29">
        <v>30</v>
      </c>
      <c r="W46" s="30">
        <v>2</v>
      </c>
      <c r="X46" s="32">
        <f t="shared" si="64"/>
        <v>3500000</v>
      </c>
      <c r="Y46" s="32">
        <f t="shared" si="65"/>
        <v>14000000</v>
      </c>
      <c r="Z46" s="32">
        <f t="shared" si="66"/>
        <v>10500000</v>
      </c>
      <c r="AA46" s="32">
        <f t="shared" si="67"/>
        <v>7000000</v>
      </c>
      <c r="AB46" s="31">
        <v>35000000</v>
      </c>
      <c r="AC46" s="29">
        <v>30</v>
      </c>
      <c r="AD46" s="30">
        <v>2</v>
      </c>
      <c r="AE46" s="12">
        <f t="shared" si="68"/>
        <v>9500000</v>
      </c>
      <c r="AF46" s="12">
        <f t="shared" si="68"/>
        <v>38000000</v>
      </c>
      <c r="AG46" s="12">
        <f t="shared" si="68"/>
        <v>28500000</v>
      </c>
      <c r="AH46" s="12">
        <f t="shared" si="68"/>
        <v>19000000</v>
      </c>
      <c r="AI46" s="12">
        <f t="shared" si="68"/>
        <v>95000000</v>
      </c>
      <c r="AJ46" s="12">
        <f t="shared" si="69"/>
        <v>90</v>
      </c>
      <c r="AK46" s="12">
        <f t="shared" si="69"/>
        <v>6</v>
      </c>
      <c r="AL46" s="13">
        <f t="shared" si="17"/>
        <v>0</v>
      </c>
      <c r="AM46" s="13">
        <f t="shared" si="18"/>
        <v>0</v>
      </c>
      <c r="AN46" s="13">
        <f>P46-'[14]THÁNG 7'!L44</f>
        <v>0</v>
      </c>
    </row>
    <row r="47" spans="1:50" ht="14.25" customHeight="1" x14ac:dyDescent="0.15">
      <c r="A47" s="24">
        <v>3</v>
      </c>
      <c r="B47" s="41" t="s">
        <v>134</v>
      </c>
      <c r="C47" s="41" t="s">
        <v>98</v>
      </c>
      <c r="D47" s="41" t="s">
        <v>115</v>
      </c>
      <c r="E47" s="41" t="s">
        <v>135</v>
      </c>
      <c r="F47" s="26">
        <f>SUMIF('[14]DS đạt từ T1-4'!$D:$D,'Quý 3,2025'!$C47,'[14]DS đạt từ T1-4'!$AI:$AI)</f>
        <v>0</v>
      </c>
      <c r="G47" s="26">
        <f>SUMIF('[14]DS đạt từ T1-4'!$D:$D,'Quý 3,2025'!$C47,'[14]DS đạt từ T1-4'!$AN:$AN)</f>
        <v>0</v>
      </c>
      <c r="H47" s="26">
        <f>SUMIF([14]T5!D:D,'Quý 3,2025'!C47,[14]T5!AF:AF)</f>
        <v>0</v>
      </c>
      <c r="I47" s="27">
        <f t="shared" si="16"/>
        <v>0</v>
      </c>
      <c r="J47" s="12">
        <f t="shared" si="56"/>
        <v>3000000</v>
      </c>
      <c r="K47" s="12">
        <f t="shared" si="57"/>
        <v>12000000</v>
      </c>
      <c r="L47" s="12">
        <f t="shared" si="58"/>
        <v>9000000</v>
      </c>
      <c r="M47" s="12">
        <f t="shared" si="59"/>
        <v>6000000</v>
      </c>
      <c r="N47" s="28">
        <v>30000000</v>
      </c>
      <c r="O47" s="40">
        <v>50</v>
      </c>
      <c r="P47" s="40">
        <v>2</v>
      </c>
      <c r="Q47" s="12">
        <f t="shared" si="60"/>
        <v>3000000</v>
      </c>
      <c r="R47" s="12">
        <f t="shared" si="61"/>
        <v>12000000</v>
      </c>
      <c r="S47" s="12">
        <f t="shared" si="62"/>
        <v>9000000</v>
      </c>
      <c r="T47" s="12">
        <f t="shared" si="63"/>
        <v>6000000</v>
      </c>
      <c r="U47" s="31">
        <v>30000000</v>
      </c>
      <c r="V47" s="40">
        <v>50</v>
      </c>
      <c r="W47" s="40">
        <v>2</v>
      </c>
      <c r="X47" s="32">
        <f t="shared" si="64"/>
        <v>3500000</v>
      </c>
      <c r="Y47" s="32">
        <f t="shared" si="65"/>
        <v>14000000</v>
      </c>
      <c r="Z47" s="32">
        <f t="shared" si="66"/>
        <v>10500000</v>
      </c>
      <c r="AA47" s="32">
        <f t="shared" si="67"/>
        <v>7000000</v>
      </c>
      <c r="AB47" s="31">
        <v>35000000</v>
      </c>
      <c r="AC47" s="40">
        <v>50</v>
      </c>
      <c r="AD47" s="40">
        <v>2</v>
      </c>
      <c r="AE47" s="12">
        <f t="shared" si="68"/>
        <v>9500000</v>
      </c>
      <c r="AF47" s="12">
        <f t="shared" si="68"/>
        <v>38000000</v>
      </c>
      <c r="AG47" s="12">
        <f t="shared" si="68"/>
        <v>28500000</v>
      </c>
      <c r="AH47" s="12">
        <f t="shared" si="68"/>
        <v>19000000</v>
      </c>
      <c r="AI47" s="12">
        <f t="shared" si="68"/>
        <v>95000000</v>
      </c>
      <c r="AJ47" s="12">
        <f t="shared" si="69"/>
        <v>150</v>
      </c>
      <c r="AK47" s="12">
        <f t="shared" si="69"/>
        <v>6</v>
      </c>
      <c r="AL47" s="13">
        <f t="shared" si="17"/>
        <v>0</v>
      </c>
      <c r="AM47" s="13">
        <f t="shared" si="18"/>
        <v>0</v>
      </c>
      <c r="AN47" s="13">
        <f>P47-'[14]THÁNG 7'!L45</f>
        <v>0</v>
      </c>
    </row>
    <row r="48" spans="1:50" s="1" customFormat="1" ht="14.25" customHeight="1" x14ac:dyDescent="0.15">
      <c r="A48" s="24">
        <v>4</v>
      </c>
      <c r="B48" s="41" t="s">
        <v>136</v>
      </c>
      <c r="C48" s="41" t="s">
        <v>98</v>
      </c>
      <c r="D48" s="41" t="s">
        <v>137</v>
      </c>
      <c r="E48" s="41" t="s">
        <v>138</v>
      </c>
      <c r="F48" s="26">
        <f>SUMIF('[14]DS đạt từ T1-4'!$D:$D,'Quý 3,2025'!$C48,'[14]DS đạt từ T1-4'!$AI:$AI)</f>
        <v>0</v>
      </c>
      <c r="G48" s="26">
        <f>SUMIF('[14]DS đạt từ T1-4'!$D:$D,'Quý 3,2025'!$C48,'[14]DS đạt từ T1-4'!$AN:$AN)</f>
        <v>0</v>
      </c>
      <c r="H48" s="26">
        <v>2067142.857142857</v>
      </c>
      <c r="I48" s="27">
        <f t="shared" si="16"/>
        <v>689047.61904761905</v>
      </c>
      <c r="J48" s="12">
        <f t="shared" si="56"/>
        <v>3000000</v>
      </c>
      <c r="K48" s="12">
        <f t="shared" si="57"/>
        <v>12000000</v>
      </c>
      <c r="L48" s="12">
        <f t="shared" si="58"/>
        <v>9000000</v>
      </c>
      <c r="M48" s="12">
        <f t="shared" si="59"/>
        <v>6000000</v>
      </c>
      <c r="N48" s="28">
        <v>30000000</v>
      </c>
      <c r="O48" s="29">
        <v>100</v>
      </c>
      <c r="P48" s="30">
        <v>5</v>
      </c>
      <c r="Q48" s="12">
        <f t="shared" si="60"/>
        <v>3000000</v>
      </c>
      <c r="R48" s="12">
        <f t="shared" si="61"/>
        <v>12000000</v>
      </c>
      <c r="S48" s="12">
        <f t="shared" si="62"/>
        <v>9000000</v>
      </c>
      <c r="T48" s="12">
        <f t="shared" si="63"/>
        <v>6000000</v>
      </c>
      <c r="U48" s="31">
        <v>30000000</v>
      </c>
      <c r="V48" s="29">
        <v>100</v>
      </c>
      <c r="W48" s="30">
        <v>5</v>
      </c>
      <c r="X48" s="32">
        <f t="shared" si="64"/>
        <v>3500000</v>
      </c>
      <c r="Y48" s="32">
        <f t="shared" si="65"/>
        <v>14000000</v>
      </c>
      <c r="Z48" s="32">
        <f t="shared" si="66"/>
        <v>10500000</v>
      </c>
      <c r="AA48" s="32">
        <f t="shared" si="67"/>
        <v>7000000</v>
      </c>
      <c r="AB48" s="31">
        <v>35000000</v>
      </c>
      <c r="AC48" s="29">
        <v>120</v>
      </c>
      <c r="AD48" s="30">
        <v>3</v>
      </c>
      <c r="AE48" s="12">
        <f t="shared" si="68"/>
        <v>9500000</v>
      </c>
      <c r="AF48" s="12">
        <f t="shared" si="68"/>
        <v>38000000</v>
      </c>
      <c r="AG48" s="12">
        <f t="shared" si="68"/>
        <v>28500000</v>
      </c>
      <c r="AH48" s="12">
        <f t="shared" si="68"/>
        <v>19000000</v>
      </c>
      <c r="AI48" s="12">
        <f t="shared" si="68"/>
        <v>95000000</v>
      </c>
      <c r="AJ48" s="12">
        <f t="shared" si="69"/>
        <v>320</v>
      </c>
      <c r="AK48" s="12">
        <f t="shared" si="69"/>
        <v>13</v>
      </c>
      <c r="AL48" s="13">
        <f t="shared" si="17"/>
        <v>0</v>
      </c>
      <c r="AM48" s="13">
        <f t="shared" si="18"/>
        <v>20</v>
      </c>
      <c r="AN48" s="13">
        <f>P48-'[14]THÁNG 7'!L46</f>
        <v>0</v>
      </c>
      <c r="AO48" s="7"/>
      <c r="AP48" s="7"/>
      <c r="AQ48" s="7"/>
      <c r="AR48" s="7"/>
      <c r="AS48" s="7"/>
      <c r="AT48" s="7"/>
      <c r="AU48" s="7"/>
      <c r="AV48" s="7"/>
      <c r="AW48" s="7"/>
      <c r="AX48" s="7"/>
    </row>
    <row r="49" spans="1:50" ht="14.25" customHeight="1" x14ac:dyDescent="0.15">
      <c r="A49" s="24">
        <v>5</v>
      </c>
      <c r="B49" s="41" t="s">
        <v>139</v>
      </c>
      <c r="C49" s="41" t="s">
        <v>140</v>
      </c>
      <c r="D49" s="41" t="s">
        <v>141</v>
      </c>
      <c r="E49" s="41" t="s">
        <v>142</v>
      </c>
      <c r="F49" s="26">
        <f>SUMIF('[14]DS đạt từ T1-4'!$D:$D,'Quý 3,2025'!$C49,'[14]DS đạt từ T1-4'!$AI:$AI)</f>
        <v>59398285.714285716</v>
      </c>
      <c r="G49" s="26">
        <f>SUMIF('[14]DS đạt từ T1-4'!$D:$D,'Quý 3,2025'!$C49,'[14]DS đạt từ T1-4'!$AN:$AN)</f>
        <v>25261428.571428571</v>
      </c>
      <c r="H49" s="26">
        <f>SUMIF([14]T5!D:D,'Quý 3,2025'!C49,[14]T5!AF:AF)</f>
        <v>24596142.857142858</v>
      </c>
      <c r="I49" s="27">
        <f t="shared" si="16"/>
        <v>36418619.047619045</v>
      </c>
      <c r="J49" s="12">
        <f t="shared" si="56"/>
        <v>6000000</v>
      </c>
      <c r="K49" s="12">
        <f t="shared" si="57"/>
        <v>24000000</v>
      </c>
      <c r="L49" s="12">
        <f t="shared" si="58"/>
        <v>18000000</v>
      </c>
      <c r="M49" s="12">
        <f t="shared" si="59"/>
        <v>12000000</v>
      </c>
      <c r="N49" s="28">
        <v>60000000</v>
      </c>
      <c r="O49" s="29">
        <v>280</v>
      </c>
      <c r="P49" s="30">
        <v>5</v>
      </c>
      <c r="Q49" s="12">
        <f t="shared" si="60"/>
        <v>6500000</v>
      </c>
      <c r="R49" s="12">
        <f t="shared" si="61"/>
        <v>26000000</v>
      </c>
      <c r="S49" s="12">
        <f t="shared" si="62"/>
        <v>19500000</v>
      </c>
      <c r="T49" s="12">
        <f t="shared" si="63"/>
        <v>13000000</v>
      </c>
      <c r="U49" s="31">
        <v>65000000</v>
      </c>
      <c r="V49" s="29">
        <v>300</v>
      </c>
      <c r="W49" s="30">
        <v>4</v>
      </c>
      <c r="X49" s="32">
        <f t="shared" si="64"/>
        <v>6500000</v>
      </c>
      <c r="Y49" s="32">
        <f t="shared" si="65"/>
        <v>26000000</v>
      </c>
      <c r="Z49" s="32">
        <f t="shared" si="66"/>
        <v>19500000</v>
      </c>
      <c r="AA49" s="32">
        <f t="shared" si="67"/>
        <v>13000000</v>
      </c>
      <c r="AB49" s="31">
        <v>65000000</v>
      </c>
      <c r="AC49" s="29">
        <v>320</v>
      </c>
      <c r="AD49" s="30">
        <v>3</v>
      </c>
      <c r="AE49" s="12">
        <f t="shared" si="68"/>
        <v>19000000</v>
      </c>
      <c r="AF49" s="12">
        <f t="shared" si="68"/>
        <v>76000000</v>
      </c>
      <c r="AG49" s="12">
        <f t="shared" si="68"/>
        <v>57000000</v>
      </c>
      <c r="AH49" s="12">
        <f t="shared" si="68"/>
        <v>38000000</v>
      </c>
      <c r="AI49" s="12">
        <f t="shared" si="68"/>
        <v>190000000</v>
      </c>
      <c r="AJ49" s="12">
        <f t="shared" si="69"/>
        <v>900</v>
      </c>
      <c r="AK49" s="12">
        <f t="shared" si="69"/>
        <v>12</v>
      </c>
      <c r="AL49" s="13">
        <f t="shared" si="17"/>
        <v>20</v>
      </c>
      <c r="AM49" s="13">
        <f t="shared" si="18"/>
        <v>20</v>
      </c>
      <c r="AN49" s="13">
        <f>P49-'[14]THÁNG 7'!L47</f>
        <v>0</v>
      </c>
    </row>
    <row r="50" spans="1:50" ht="14.25" customHeight="1" x14ac:dyDescent="0.15">
      <c r="A50" s="24">
        <v>6</v>
      </c>
      <c r="B50" s="41" t="s">
        <v>143</v>
      </c>
      <c r="C50" s="41" t="s">
        <v>144</v>
      </c>
      <c r="D50" s="41" t="s">
        <v>145</v>
      </c>
      <c r="E50" s="41" t="s">
        <v>146</v>
      </c>
      <c r="F50" s="26">
        <f>SUMIF('[14]DS đạt từ T1-4'!$D:$D,'Quý 3,2025'!$C50,'[14]DS đạt từ T1-4'!$AI:$AI)</f>
        <v>0</v>
      </c>
      <c r="G50" s="26">
        <f>SUMIF('[14]DS đạt từ T1-4'!$D:$D,'Quý 3,2025'!$C50,'[14]DS đạt từ T1-4'!$AN:$AN)</f>
        <v>0</v>
      </c>
      <c r="H50" s="26">
        <f>SUMIF([14]T5!D:D,'Quý 3,2025'!C50,[14]T5!AF:AF)</f>
        <v>80460571.428571433</v>
      </c>
      <c r="I50" s="27">
        <f t="shared" si="16"/>
        <v>26820190.476190478</v>
      </c>
      <c r="J50" s="12">
        <f t="shared" si="56"/>
        <v>9000000</v>
      </c>
      <c r="K50" s="12">
        <f t="shared" si="57"/>
        <v>36000000</v>
      </c>
      <c r="L50" s="12">
        <f t="shared" si="58"/>
        <v>27000000</v>
      </c>
      <c r="M50" s="12">
        <f t="shared" si="59"/>
        <v>18000000</v>
      </c>
      <c r="N50" s="28">
        <v>90000000</v>
      </c>
      <c r="O50" s="29">
        <v>350</v>
      </c>
      <c r="P50" s="30">
        <v>4</v>
      </c>
      <c r="Q50" s="12">
        <f t="shared" si="60"/>
        <v>9500000</v>
      </c>
      <c r="R50" s="12">
        <f t="shared" si="61"/>
        <v>38000000</v>
      </c>
      <c r="S50" s="12">
        <f t="shared" si="62"/>
        <v>28500000</v>
      </c>
      <c r="T50" s="12">
        <f t="shared" si="63"/>
        <v>19000000</v>
      </c>
      <c r="U50" s="31">
        <v>95000000</v>
      </c>
      <c r="V50" s="29">
        <v>370</v>
      </c>
      <c r="W50" s="30">
        <v>4</v>
      </c>
      <c r="X50" s="32">
        <f t="shared" si="64"/>
        <v>10000000</v>
      </c>
      <c r="Y50" s="32">
        <f t="shared" si="65"/>
        <v>40000000</v>
      </c>
      <c r="Z50" s="32">
        <f t="shared" si="66"/>
        <v>30000000</v>
      </c>
      <c r="AA50" s="32">
        <f t="shared" si="67"/>
        <v>20000000</v>
      </c>
      <c r="AB50" s="31">
        <v>100000000</v>
      </c>
      <c r="AC50" s="29">
        <v>390</v>
      </c>
      <c r="AD50" s="30">
        <v>3</v>
      </c>
      <c r="AE50" s="12">
        <f t="shared" si="68"/>
        <v>28500000</v>
      </c>
      <c r="AF50" s="12">
        <f t="shared" si="68"/>
        <v>114000000</v>
      </c>
      <c r="AG50" s="12">
        <f t="shared" si="68"/>
        <v>85500000</v>
      </c>
      <c r="AH50" s="12">
        <f t="shared" si="68"/>
        <v>57000000</v>
      </c>
      <c r="AI50" s="12">
        <f t="shared" si="68"/>
        <v>285000000</v>
      </c>
      <c r="AJ50" s="12">
        <f t="shared" si="69"/>
        <v>1110</v>
      </c>
      <c r="AK50" s="12">
        <f t="shared" si="69"/>
        <v>11</v>
      </c>
      <c r="AL50" s="13">
        <f t="shared" si="17"/>
        <v>20</v>
      </c>
      <c r="AM50" s="13">
        <f t="shared" si="18"/>
        <v>20</v>
      </c>
      <c r="AN50" s="13">
        <f>P50-'[14]THÁNG 7'!L48</f>
        <v>0</v>
      </c>
    </row>
    <row r="51" spans="1:50" ht="14.25" customHeight="1" x14ac:dyDescent="0.15">
      <c r="A51" s="24">
        <v>7</v>
      </c>
      <c r="B51" s="41" t="s">
        <v>147</v>
      </c>
      <c r="C51" s="41" t="s">
        <v>148</v>
      </c>
      <c r="D51" s="41" t="s">
        <v>149</v>
      </c>
      <c r="E51" s="41" t="s">
        <v>150</v>
      </c>
      <c r="F51" s="26">
        <f>SUMIF('[14]DS đạt từ T1-4'!$D:$D,'Quý 3,2025'!$C51,'[14]DS đạt từ T1-4'!$AI:$AI)</f>
        <v>17505000</v>
      </c>
      <c r="G51" s="26">
        <f>SUMIF('[14]DS đạt từ T1-4'!$D:$D,'Quý 3,2025'!$C51,'[14]DS đạt từ T1-4'!$AN:$AN)</f>
        <v>0</v>
      </c>
      <c r="H51" s="26">
        <f>SUMIF([14]T5!D:D,'Quý 3,2025'!C51,[14]T5!AF:AF)</f>
        <v>56779904.761904761</v>
      </c>
      <c r="I51" s="27">
        <f t="shared" si="16"/>
        <v>24761634.920634922</v>
      </c>
      <c r="J51" s="12">
        <f t="shared" si="56"/>
        <v>5500000</v>
      </c>
      <c r="K51" s="12">
        <f t="shared" si="57"/>
        <v>22000000</v>
      </c>
      <c r="L51" s="12">
        <f t="shared" si="58"/>
        <v>16500000</v>
      </c>
      <c r="M51" s="12">
        <f t="shared" si="59"/>
        <v>11000000</v>
      </c>
      <c r="N51" s="28">
        <v>55000000</v>
      </c>
      <c r="O51" s="29">
        <v>160</v>
      </c>
      <c r="P51" s="30">
        <v>1</v>
      </c>
      <c r="Q51" s="12">
        <f t="shared" si="60"/>
        <v>5500000</v>
      </c>
      <c r="R51" s="12">
        <f t="shared" si="61"/>
        <v>22000000</v>
      </c>
      <c r="S51" s="12">
        <f t="shared" si="62"/>
        <v>16500000</v>
      </c>
      <c r="T51" s="12">
        <f t="shared" si="63"/>
        <v>11000000</v>
      </c>
      <c r="U51" s="31">
        <v>55000000</v>
      </c>
      <c r="V51" s="29">
        <v>170</v>
      </c>
      <c r="W51" s="30">
        <v>1</v>
      </c>
      <c r="X51" s="32">
        <f t="shared" si="64"/>
        <v>6000000</v>
      </c>
      <c r="Y51" s="32">
        <f t="shared" si="65"/>
        <v>24000000</v>
      </c>
      <c r="Z51" s="32">
        <f t="shared" si="66"/>
        <v>18000000</v>
      </c>
      <c r="AA51" s="32">
        <f t="shared" si="67"/>
        <v>12000000</v>
      </c>
      <c r="AB51" s="31">
        <v>60000000</v>
      </c>
      <c r="AC51" s="29">
        <v>190</v>
      </c>
      <c r="AD51" s="30">
        <v>1</v>
      </c>
      <c r="AE51" s="12">
        <f t="shared" si="68"/>
        <v>17000000</v>
      </c>
      <c r="AF51" s="12">
        <f t="shared" si="68"/>
        <v>68000000</v>
      </c>
      <c r="AG51" s="12">
        <f t="shared" si="68"/>
        <v>51000000</v>
      </c>
      <c r="AH51" s="12">
        <f t="shared" si="68"/>
        <v>34000000</v>
      </c>
      <c r="AI51" s="12">
        <f t="shared" si="68"/>
        <v>170000000</v>
      </c>
      <c r="AJ51" s="12">
        <f t="shared" si="69"/>
        <v>520</v>
      </c>
      <c r="AK51" s="12">
        <f t="shared" si="69"/>
        <v>3</v>
      </c>
      <c r="AL51" s="13">
        <f t="shared" si="17"/>
        <v>10</v>
      </c>
      <c r="AM51" s="13">
        <f t="shared" si="18"/>
        <v>20</v>
      </c>
      <c r="AN51" s="13">
        <f>P51-'[14]THÁNG 7'!L49</f>
        <v>0</v>
      </c>
    </row>
    <row r="52" spans="1:50" ht="14.25" customHeight="1" x14ac:dyDescent="0.15">
      <c r="A52" s="24">
        <v>8</v>
      </c>
      <c r="B52" s="41" t="s">
        <v>151</v>
      </c>
      <c r="C52" s="41" t="s">
        <v>152</v>
      </c>
      <c r="D52" s="41" t="s">
        <v>153</v>
      </c>
      <c r="E52" s="41" t="s">
        <v>154</v>
      </c>
      <c r="F52" s="26">
        <f>SUMIF('[14]DS đạt từ T1-4'!$D:$D,'Quý 3,2025'!$C52,'[14]DS đạt từ T1-4'!$AI:$AI)</f>
        <v>0</v>
      </c>
      <c r="G52" s="26">
        <f>SUMIF('[14]DS đạt từ T1-4'!$D:$D,'Quý 3,2025'!$C52,'[14]DS đạt từ T1-4'!$AN:$AN)</f>
        <v>34253571.428571433</v>
      </c>
      <c r="H52" s="26">
        <f>SUMIF([14]T5!D:D,'Quý 3,2025'!C52,[14]T5!AF:AF)</f>
        <v>10286428.571428571</v>
      </c>
      <c r="I52" s="27">
        <f t="shared" si="16"/>
        <v>14846666.666666666</v>
      </c>
      <c r="J52" s="12">
        <f t="shared" si="56"/>
        <v>3000000</v>
      </c>
      <c r="K52" s="12">
        <f t="shared" si="57"/>
        <v>12000000</v>
      </c>
      <c r="L52" s="12">
        <f t="shared" si="58"/>
        <v>9000000</v>
      </c>
      <c r="M52" s="12">
        <f t="shared" si="59"/>
        <v>6000000</v>
      </c>
      <c r="N52" s="28">
        <v>30000000</v>
      </c>
      <c r="O52" s="29">
        <v>100</v>
      </c>
      <c r="P52" s="30">
        <v>3</v>
      </c>
      <c r="Q52" s="12">
        <f t="shared" si="60"/>
        <v>3500000</v>
      </c>
      <c r="R52" s="12">
        <f t="shared" si="61"/>
        <v>14000000</v>
      </c>
      <c r="S52" s="12">
        <f t="shared" si="62"/>
        <v>10500000</v>
      </c>
      <c r="T52" s="12">
        <f t="shared" si="63"/>
        <v>7000000</v>
      </c>
      <c r="U52" s="31">
        <v>35000000</v>
      </c>
      <c r="V52" s="29">
        <v>170</v>
      </c>
      <c r="W52" s="30">
        <v>3</v>
      </c>
      <c r="X52" s="32">
        <f t="shared" si="64"/>
        <v>4000000</v>
      </c>
      <c r="Y52" s="32">
        <f t="shared" si="65"/>
        <v>16000000</v>
      </c>
      <c r="Z52" s="32">
        <f t="shared" si="66"/>
        <v>12000000</v>
      </c>
      <c r="AA52" s="32">
        <f t="shared" si="67"/>
        <v>8000000</v>
      </c>
      <c r="AB52" s="31">
        <v>40000000</v>
      </c>
      <c r="AC52" s="29">
        <v>180</v>
      </c>
      <c r="AD52" s="30">
        <v>3</v>
      </c>
      <c r="AE52" s="12">
        <f t="shared" si="68"/>
        <v>10500000</v>
      </c>
      <c r="AF52" s="12">
        <f t="shared" si="68"/>
        <v>42000000</v>
      </c>
      <c r="AG52" s="12">
        <f t="shared" si="68"/>
        <v>31500000</v>
      </c>
      <c r="AH52" s="12">
        <f t="shared" si="68"/>
        <v>21000000</v>
      </c>
      <c r="AI52" s="12">
        <f t="shared" si="68"/>
        <v>105000000</v>
      </c>
      <c r="AJ52" s="12">
        <f t="shared" si="69"/>
        <v>450</v>
      </c>
      <c r="AK52" s="12">
        <f t="shared" si="69"/>
        <v>9</v>
      </c>
      <c r="AL52" s="13">
        <f t="shared" si="17"/>
        <v>70</v>
      </c>
      <c r="AM52" s="13">
        <f t="shared" si="18"/>
        <v>10</v>
      </c>
      <c r="AN52" s="13">
        <f>P52-'[14]THÁNG 7'!L50</f>
        <v>0</v>
      </c>
    </row>
    <row r="53" spans="1:50" s="23" customFormat="1" ht="14.25" customHeight="1" x14ac:dyDescent="0.15">
      <c r="A53" s="34" t="s">
        <v>155</v>
      </c>
      <c r="B53" s="45"/>
      <c r="C53" s="45"/>
      <c r="D53" s="45"/>
      <c r="E53" s="45"/>
      <c r="F53" s="36">
        <f t="shared" ref="F53:P53" si="70">SUM(F45:F52)</f>
        <v>120523142.85714287</v>
      </c>
      <c r="G53" s="36">
        <f t="shared" si="70"/>
        <v>78895142.857142866</v>
      </c>
      <c r="H53" s="36">
        <f t="shared" si="70"/>
        <v>206322809.52380952</v>
      </c>
      <c r="I53" s="36">
        <f t="shared" si="70"/>
        <v>135247031.74603173</v>
      </c>
      <c r="J53" s="36">
        <f t="shared" si="70"/>
        <v>38500000</v>
      </c>
      <c r="K53" s="36">
        <f t="shared" si="70"/>
        <v>154000000</v>
      </c>
      <c r="L53" s="36">
        <f t="shared" si="70"/>
        <v>115500000</v>
      </c>
      <c r="M53" s="36">
        <f t="shared" si="70"/>
        <v>77000000</v>
      </c>
      <c r="N53" s="37">
        <f t="shared" si="70"/>
        <v>385000000</v>
      </c>
      <c r="O53" s="37">
        <f t="shared" si="70"/>
        <v>1290</v>
      </c>
      <c r="P53" s="37">
        <f t="shared" si="70"/>
        <v>26</v>
      </c>
      <c r="Q53" s="36">
        <f t="shared" ref="Q53:AK53" si="71">SUM(Q45:Q52)</f>
        <v>40500000</v>
      </c>
      <c r="R53" s="36">
        <f t="shared" si="71"/>
        <v>162000000</v>
      </c>
      <c r="S53" s="36">
        <f t="shared" si="71"/>
        <v>121500000</v>
      </c>
      <c r="T53" s="36">
        <f t="shared" si="71"/>
        <v>81000000</v>
      </c>
      <c r="U53" s="37">
        <f t="shared" si="71"/>
        <v>405000000</v>
      </c>
      <c r="V53" s="37">
        <f>SUM(V45:V52)</f>
        <v>1410</v>
      </c>
      <c r="W53" s="37">
        <f>SUM(W45:W52)</f>
        <v>24</v>
      </c>
      <c r="X53" s="36">
        <f t="shared" si="71"/>
        <v>44000000</v>
      </c>
      <c r="Y53" s="36">
        <f t="shared" si="71"/>
        <v>176000000</v>
      </c>
      <c r="Z53" s="36">
        <f t="shared" si="71"/>
        <v>132000000</v>
      </c>
      <c r="AA53" s="36">
        <f t="shared" si="71"/>
        <v>88000000</v>
      </c>
      <c r="AB53" s="37">
        <f t="shared" si="71"/>
        <v>440000000</v>
      </c>
      <c r="AC53" s="37">
        <f t="shared" si="71"/>
        <v>1520</v>
      </c>
      <c r="AD53" s="37">
        <f t="shared" si="71"/>
        <v>20</v>
      </c>
      <c r="AE53" s="36">
        <f t="shared" si="71"/>
        <v>123000000</v>
      </c>
      <c r="AF53" s="36">
        <f t="shared" si="71"/>
        <v>492000000</v>
      </c>
      <c r="AG53" s="36">
        <f t="shared" si="71"/>
        <v>369000000</v>
      </c>
      <c r="AH53" s="36">
        <f t="shared" si="71"/>
        <v>246000000</v>
      </c>
      <c r="AI53" s="36">
        <f t="shared" si="71"/>
        <v>1230000000</v>
      </c>
      <c r="AJ53" s="37">
        <f t="shared" si="71"/>
        <v>4220</v>
      </c>
      <c r="AK53" s="37">
        <f t="shared" si="71"/>
        <v>70</v>
      </c>
      <c r="AL53" s="13">
        <f t="shared" si="17"/>
        <v>120</v>
      </c>
      <c r="AM53" s="13">
        <f t="shared" si="18"/>
        <v>110</v>
      </c>
      <c r="AN53" s="13">
        <f>P53-'[14]THÁNG 7'!L51</f>
        <v>0</v>
      </c>
      <c r="AO53" s="7"/>
      <c r="AP53" s="7"/>
      <c r="AQ53" s="7"/>
      <c r="AR53" s="7"/>
      <c r="AS53" s="7"/>
      <c r="AT53" s="7"/>
      <c r="AU53" s="7"/>
      <c r="AV53" s="7"/>
      <c r="AW53" s="7"/>
      <c r="AX53" s="7"/>
    </row>
    <row r="54" spans="1:50" ht="14.25" customHeight="1" x14ac:dyDescent="0.15">
      <c r="A54" s="24">
        <v>1</v>
      </c>
      <c r="B54" s="41" t="s">
        <v>156</v>
      </c>
      <c r="C54" s="41" t="s">
        <v>3</v>
      </c>
      <c r="D54" s="41" t="s">
        <v>157</v>
      </c>
      <c r="E54" s="41" t="s">
        <v>158</v>
      </c>
      <c r="F54" s="26">
        <f>SUMIF('[14]DS đạt từ T1-4'!$D:$D,'Quý 3,2025'!$C54,'[14]DS đạt từ T1-4'!$AI:$AI)</f>
        <v>31508000</v>
      </c>
      <c r="G54" s="26">
        <f>SUMIF('[14]DS đạt từ T1-4'!$D:$D,'Quý 3,2025'!$C54,'[14]DS đạt từ T1-4'!$AN:$AN)</f>
        <v>17003000</v>
      </c>
      <c r="H54" s="26">
        <f>SUMIF([14]T5!D:D,'Quý 3,2025'!C54,[14]T5!AF:AF)</f>
        <v>11406000</v>
      </c>
      <c r="I54" s="27">
        <f t="shared" si="16"/>
        <v>19972333.333333332</v>
      </c>
      <c r="J54" s="12">
        <f t="shared" ref="J54:J59" si="72">J$9*N54</f>
        <v>6000000</v>
      </c>
      <c r="K54" s="12">
        <f t="shared" ref="K54:K59" si="73">K$9*N54</f>
        <v>24000000</v>
      </c>
      <c r="L54" s="12">
        <f t="shared" ref="L54:L59" si="74">L$9*N54</f>
        <v>18000000</v>
      </c>
      <c r="M54" s="12">
        <f t="shared" ref="M54:M59" si="75">M$9*N54</f>
        <v>12000000</v>
      </c>
      <c r="N54" s="46">
        <v>60000000</v>
      </c>
      <c r="O54" s="47">
        <v>180</v>
      </c>
      <c r="P54" s="48">
        <v>3</v>
      </c>
      <c r="Q54" s="12">
        <f t="shared" ref="Q54:Q59" si="76">Q$9*U54</f>
        <v>6500000</v>
      </c>
      <c r="R54" s="12">
        <f t="shared" ref="R54:R59" si="77">R$9*U54</f>
        <v>26000000</v>
      </c>
      <c r="S54" s="12">
        <f t="shared" ref="S54:S59" si="78">S$9*U54</f>
        <v>19500000</v>
      </c>
      <c r="T54" s="12">
        <f t="shared" ref="T54:T59" si="79">T$9*U54</f>
        <v>13000000</v>
      </c>
      <c r="U54" s="31">
        <v>65000000</v>
      </c>
      <c r="V54" s="47">
        <v>200</v>
      </c>
      <c r="W54" s="48">
        <v>3</v>
      </c>
      <c r="X54" s="32">
        <f t="shared" ref="X54:X59" si="80">X$9*AB54</f>
        <v>7000000</v>
      </c>
      <c r="Y54" s="32">
        <f t="shared" ref="Y54:Y59" si="81">Y$9*AB54</f>
        <v>28000000</v>
      </c>
      <c r="Z54" s="32">
        <f t="shared" ref="Z54:Z59" si="82">Z$9*AB54</f>
        <v>21000000</v>
      </c>
      <c r="AA54" s="32">
        <f t="shared" ref="AA54:AA59" si="83">AA$9*AB54</f>
        <v>14000000</v>
      </c>
      <c r="AB54" s="31">
        <v>70000000</v>
      </c>
      <c r="AC54" s="47">
        <v>220</v>
      </c>
      <c r="AD54" s="48">
        <v>3</v>
      </c>
      <c r="AE54" s="12">
        <f t="shared" ref="AE54:AI59" si="84">SUMIF($J$12:$AB$12,AE$12,$J54:$AB54)</f>
        <v>19500000</v>
      </c>
      <c r="AF54" s="12">
        <f t="shared" si="84"/>
        <v>78000000</v>
      </c>
      <c r="AG54" s="12">
        <f t="shared" si="84"/>
        <v>58500000</v>
      </c>
      <c r="AH54" s="12">
        <f t="shared" si="84"/>
        <v>39000000</v>
      </c>
      <c r="AI54" s="12">
        <f t="shared" si="84"/>
        <v>195000000</v>
      </c>
      <c r="AJ54" s="12">
        <f t="shared" ref="AJ54:AK59" si="85">SUMIF($J$11:$AD$11,AJ$11,$J54:$AD54)</f>
        <v>600</v>
      </c>
      <c r="AK54" s="12">
        <f t="shared" si="85"/>
        <v>9</v>
      </c>
      <c r="AL54" s="13">
        <f t="shared" si="17"/>
        <v>20</v>
      </c>
      <c r="AM54" s="13">
        <f t="shared" si="18"/>
        <v>20</v>
      </c>
      <c r="AN54" s="13">
        <f>P54-'[14]THÁNG 7'!L52</f>
        <v>0</v>
      </c>
    </row>
    <row r="55" spans="1:50" s="1" customFormat="1" ht="14.25" customHeight="1" x14ac:dyDescent="0.15">
      <c r="A55" s="24">
        <v>2</v>
      </c>
      <c r="B55" s="41" t="s">
        <v>159</v>
      </c>
      <c r="C55" s="41" t="s">
        <v>160</v>
      </c>
      <c r="D55" s="41" t="s">
        <v>161</v>
      </c>
      <c r="E55" s="41" t="s">
        <v>162</v>
      </c>
      <c r="F55" s="26">
        <f>SUMIF('[14]DS đạt từ T1-4'!$D:$D,'Quý 3,2025'!$C55,'[14]DS đạt từ T1-4'!$AI:$AI)</f>
        <v>45958333.333333328</v>
      </c>
      <c r="G55" s="26">
        <f>SUMIF('[14]DS đạt từ T1-4'!$D:$D,'Quý 3,2025'!$C55,'[14]DS đạt từ T1-4'!$AN:$AN)</f>
        <v>17210428.571428571</v>
      </c>
      <c r="H55" s="26">
        <f>SUMIF([14]T5!D:D,'Quý 3,2025'!C55,[14]T5!AF:AF)</f>
        <v>20445428.571428571</v>
      </c>
      <c r="I55" s="27">
        <f t="shared" si="16"/>
        <v>27871396.825396821</v>
      </c>
      <c r="J55" s="12">
        <f t="shared" si="72"/>
        <v>5500000</v>
      </c>
      <c r="K55" s="12">
        <f t="shared" si="73"/>
        <v>22000000</v>
      </c>
      <c r="L55" s="12">
        <f t="shared" si="74"/>
        <v>16500000</v>
      </c>
      <c r="M55" s="12">
        <f t="shared" si="75"/>
        <v>11000000</v>
      </c>
      <c r="N55" s="42">
        <v>55000000</v>
      </c>
      <c r="O55" s="43">
        <v>240</v>
      </c>
      <c r="P55" s="44">
        <v>3</v>
      </c>
      <c r="Q55" s="12">
        <f t="shared" si="76"/>
        <v>6000000</v>
      </c>
      <c r="R55" s="12">
        <f t="shared" si="77"/>
        <v>24000000</v>
      </c>
      <c r="S55" s="12">
        <f t="shared" si="78"/>
        <v>18000000</v>
      </c>
      <c r="T55" s="12">
        <f t="shared" si="79"/>
        <v>12000000</v>
      </c>
      <c r="U55" s="31">
        <v>60000000</v>
      </c>
      <c r="V55" s="43">
        <v>240</v>
      </c>
      <c r="W55" s="44">
        <v>3</v>
      </c>
      <c r="X55" s="32">
        <f t="shared" si="80"/>
        <v>6500000</v>
      </c>
      <c r="Y55" s="32">
        <f t="shared" si="81"/>
        <v>26000000</v>
      </c>
      <c r="Z55" s="32">
        <f t="shared" si="82"/>
        <v>19500000</v>
      </c>
      <c r="AA55" s="32">
        <f t="shared" si="83"/>
        <v>13000000</v>
      </c>
      <c r="AB55" s="31">
        <v>65000000</v>
      </c>
      <c r="AC55" s="43">
        <v>260</v>
      </c>
      <c r="AD55" s="44">
        <v>3</v>
      </c>
      <c r="AE55" s="12">
        <f t="shared" si="84"/>
        <v>18000000</v>
      </c>
      <c r="AF55" s="12">
        <f t="shared" si="84"/>
        <v>72000000</v>
      </c>
      <c r="AG55" s="12">
        <f t="shared" si="84"/>
        <v>54000000</v>
      </c>
      <c r="AH55" s="12">
        <f t="shared" si="84"/>
        <v>36000000</v>
      </c>
      <c r="AI55" s="12">
        <f t="shared" si="84"/>
        <v>180000000</v>
      </c>
      <c r="AJ55" s="12">
        <f t="shared" si="85"/>
        <v>740</v>
      </c>
      <c r="AK55" s="12">
        <f t="shared" si="85"/>
        <v>9</v>
      </c>
      <c r="AL55" s="13">
        <f t="shared" si="17"/>
        <v>0</v>
      </c>
      <c r="AM55" s="13">
        <f t="shared" si="18"/>
        <v>20</v>
      </c>
      <c r="AN55" s="13">
        <f>P55-'[14]THÁNG 7'!L53</f>
        <v>0</v>
      </c>
      <c r="AO55" s="7"/>
      <c r="AP55" s="7"/>
      <c r="AQ55" s="7"/>
      <c r="AR55" s="7"/>
      <c r="AS55" s="7"/>
      <c r="AT55" s="7"/>
      <c r="AU55" s="7"/>
      <c r="AV55" s="7"/>
      <c r="AW55" s="7"/>
      <c r="AX55" s="7"/>
    </row>
    <row r="56" spans="1:50" ht="14.25" customHeight="1" x14ac:dyDescent="0.15">
      <c r="A56" s="24">
        <v>3</v>
      </c>
      <c r="B56" s="41" t="s">
        <v>163</v>
      </c>
      <c r="C56" s="41" t="s">
        <v>164</v>
      </c>
      <c r="D56" s="41" t="s">
        <v>165</v>
      </c>
      <c r="E56" s="41" t="s">
        <v>166</v>
      </c>
      <c r="F56" s="26">
        <f>SUMIF('[14]DS đạt từ T1-4'!$D:$D,'Quý 3,2025'!$C56,'[14]DS đạt từ T1-4'!$AI:$AI)</f>
        <v>80238095.238095239</v>
      </c>
      <c r="G56" s="26">
        <f>SUMIF('[14]DS đạt từ T1-4'!$D:$D,'Quý 3,2025'!$C56,'[14]DS đạt từ T1-4'!$AN:$AN)</f>
        <v>73324761.90476191</v>
      </c>
      <c r="H56" s="26">
        <f>SUMIF([14]T5!D:D,'Quý 3,2025'!C56,[14]T5!AF:AF)</f>
        <v>1980000</v>
      </c>
      <c r="I56" s="27">
        <f t="shared" si="16"/>
        <v>51847619.047619045</v>
      </c>
      <c r="J56" s="12">
        <f t="shared" si="72"/>
        <v>10000000</v>
      </c>
      <c r="K56" s="12">
        <f t="shared" si="73"/>
        <v>40000000</v>
      </c>
      <c r="L56" s="12">
        <f t="shared" si="74"/>
        <v>30000000</v>
      </c>
      <c r="M56" s="12">
        <f t="shared" si="75"/>
        <v>20000000</v>
      </c>
      <c r="N56" s="42">
        <v>100000000</v>
      </c>
      <c r="O56" s="43">
        <v>350</v>
      </c>
      <c r="P56" s="44">
        <v>4</v>
      </c>
      <c r="Q56" s="12">
        <f t="shared" si="76"/>
        <v>10000000</v>
      </c>
      <c r="R56" s="12">
        <f t="shared" si="77"/>
        <v>40000000</v>
      </c>
      <c r="S56" s="12">
        <f t="shared" si="78"/>
        <v>30000000</v>
      </c>
      <c r="T56" s="12">
        <f t="shared" si="79"/>
        <v>20000000</v>
      </c>
      <c r="U56" s="31">
        <v>100000000</v>
      </c>
      <c r="V56" s="43">
        <v>370</v>
      </c>
      <c r="W56" s="44">
        <v>3</v>
      </c>
      <c r="X56" s="32">
        <f t="shared" si="80"/>
        <v>10500000</v>
      </c>
      <c r="Y56" s="32">
        <f t="shared" si="81"/>
        <v>42000000</v>
      </c>
      <c r="Z56" s="32">
        <f t="shared" si="82"/>
        <v>31500000</v>
      </c>
      <c r="AA56" s="32">
        <f t="shared" si="83"/>
        <v>21000000</v>
      </c>
      <c r="AB56" s="31">
        <v>105000000</v>
      </c>
      <c r="AC56" s="43">
        <v>390</v>
      </c>
      <c r="AD56" s="44">
        <v>3</v>
      </c>
      <c r="AE56" s="12">
        <f t="shared" si="84"/>
        <v>30500000</v>
      </c>
      <c r="AF56" s="12">
        <f t="shared" si="84"/>
        <v>122000000</v>
      </c>
      <c r="AG56" s="12">
        <f t="shared" si="84"/>
        <v>91500000</v>
      </c>
      <c r="AH56" s="12">
        <f t="shared" si="84"/>
        <v>61000000</v>
      </c>
      <c r="AI56" s="12">
        <f t="shared" si="84"/>
        <v>305000000</v>
      </c>
      <c r="AJ56" s="12">
        <f t="shared" si="85"/>
        <v>1110</v>
      </c>
      <c r="AK56" s="12">
        <f t="shared" si="85"/>
        <v>10</v>
      </c>
      <c r="AL56" s="13">
        <f t="shared" si="17"/>
        <v>20</v>
      </c>
      <c r="AM56" s="13">
        <f t="shared" si="18"/>
        <v>20</v>
      </c>
      <c r="AN56" s="13">
        <f>P56-'[14]THÁNG 7'!L54</f>
        <v>0</v>
      </c>
    </row>
    <row r="57" spans="1:50" ht="14.25" customHeight="1" x14ac:dyDescent="0.15">
      <c r="A57" s="24">
        <v>4</v>
      </c>
      <c r="B57" s="41" t="s">
        <v>167</v>
      </c>
      <c r="C57" s="41" t="s">
        <v>98</v>
      </c>
      <c r="D57" s="41" t="s">
        <v>168</v>
      </c>
      <c r="E57" s="41" t="s">
        <v>169</v>
      </c>
      <c r="F57" s="26">
        <f>SUMIF('[14]DS đạt từ T1-4'!$D:$D,'Quý 3,2025'!$C57,'[14]DS đạt từ T1-4'!$AI:$AI)</f>
        <v>0</v>
      </c>
      <c r="G57" s="26">
        <f>SUMIF('[14]DS đạt từ T1-4'!$D:$D,'Quý 3,2025'!$C57,'[14]DS đạt từ T1-4'!$AN:$AN)</f>
        <v>0</v>
      </c>
      <c r="H57" s="26">
        <f>SUMIF([14]T5!D:D,'Quý 3,2025'!C57,[14]T5!AF:AF)</f>
        <v>0</v>
      </c>
      <c r="I57" s="27">
        <f t="shared" si="16"/>
        <v>0</v>
      </c>
      <c r="J57" s="12">
        <f t="shared" si="72"/>
        <v>6000000</v>
      </c>
      <c r="K57" s="12">
        <f t="shared" si="73"/>
        <v>24000000</v>
      </c>
      <c r="L57" s="12">
        <f t="shared" si="74"/>
        <v>18000000</v>
      </c>
      <c r="M57" s="12">
        <f t="shared" si="75"/>
        <v>12000000</v>
      </c>
      <c r="N57" s="46">
        <v>60000000</v>
      </c>
      <c r="O57" s="47">
        <v>150</v>
      </c>
      <c r="P57" s="48">
        <v>6</v>
      </c>
      <c r="Q57" s="12">
        <f t="shared" si="76"/>
        <v>6500000</v>
      </c>
      <c r="R57" s="12">
        <f t="shared" si="77"/>
        <v>26000000</v>
      </c>
      <c r="S57" s="12">
        <f t="shared" si="78"/>
        <v>19500000</v>
      </c>
      <c r="T57" s="12">
        <f t="shared" si="79"/>
        <v>13000000</v>
      </c>
      <c r="U57" s="31">
        <v>65000000</v>
      </c>
      <c r="V57" s="47">
        <v>240</v>
      </c>
      <c r="W57" s="48">
        <v>5</v>
      </c>
      <c r="X57" s="32">
        <f t="shared" si="80"/>
        <v>7000000</v>
      </c>
      <c r="Y57" s="32">
        <f t="shared" si="81"/>
        <v>28000000</v>
      </c>
      <c r="Z57" s="32">
        <f t="shared" si="82"/>
        <v>21000000</v>
      </c>
      <c r="AA57" s="32">
        <f t="shared" si="83"/>
        <v>14000000</v>
      </c>
      <c r="AB57" s="31">
        <v>70000000</v>
      </c>
      <c r="AC57" s="47">
        <v>260</v>
      </c>
      <c r="AD57" s="48">
        <v>4</v>
      </c>
      <c r="AE57" s="12">
        <f t="shared" si="84"/>
        <v>19500000</v>
      </c>
      <c r="AF57" s="12">
        <f t="shared" si="84"/>
        <v>78000000</v>
      </c>
      <c r="AG57" s="12">
        <f t="shared" si="84"/>
        <v>58500000</v>
      </c>
      <c r="AH57" s="12">
        <f t="shared" si="84"/>
        <v>39000000</v>
      </c>
      <c r="AI57" s="12">
        <f t="shared" si="84"/>
        <v>195000000</v>
      </c>
      <c r="AJ57" s="12">
        <f t="shared" si="85"/>
        <v>650</v>
      </c>
      <c r="AK57" s="12">
        <f t="shared" si="85"/>
        <v>15</v>
      </c>
      <c r="AL57" s="13">
        <f t="shared" si="17"/>
        <v>90</v>
      </c>
      <c r="AM57" s="13">
        <f t="shared" si="18"/>
        <v>20</v>
      </c>
      <c r="AN57" s="13">
        <f>P57-'[14]THÁNG 7'!L55</f>
        <v>0</v>
      </c>
    </row>
    <row r="58" spans="1:50" ht="14.25" customHeight="1" x14ac:dyDescent="0.15">
      <c r="A58" s="24">
        <v>5</v>
      </c>
      <c r="B58" s="41" t="s">
        <v>170</v>
      </c>
      <c r="C58" s="41" t="s">
        <v>171</v>
      </c>
      <c r="D58" s="41" t="s">
        <v>172</v>
      </c>
      <c r="E58" s="41" t="s">
        <v>173</v>
      </c>
      <c r="F58" s="26">
        <f>SUMIF('[14]DS đạt từ T1-4'!$D:$D,'Quý 3,2025'!$C58,'[14]DS đạt từ T1-4'!$AI:$AI)</f>
        <v>29738142.857142858</v>
      </c>
      <c r="G58" s="26">
        <f>SUMIF('[14]DS đạt từ T1-4'!$D:$D,'Quý 3,2025'!$C58,'[14]DS đạt từ T1-4'!$AN:$AN)</f>
        <v>25958142.857142858</v>
      </c>
      <c r="H58" s="26">
        <f>SUMIF([14]T5!D:D,'Quý 3,2025'!C58,[14]T5!AF:AF)</f>
        <v>48340095.238095239</v>
      </c>
      <c r="I58" s="27">
        <f t="shared" si="16"/>
        <v>34678793.650793649</v>
      </c>
      <c r="J58" s="12">
        <f t="shared" si="72"/>
        <v>6000000</v>
      </c>
      <c r="K58" s="12">
        <f t="shared" si="73"/>
        <v>24000000</v>
      </c>
      <c r="L58" s="12">
        <f t="shared" si="74"/>
        <v>18000000</v>
      </c>
      <c r="M58" s="12">
        <f t="shared" si="75"/>
        <v>12000000</v>
      </c>
      <c r="N58" s="42">
        <v>60000000</v>
      </c>
      <c r="O58" s="49">
        <v>240</v>
      </c>
      <c r="P58" s="49">
        <v>5</v>
      </c>
      <c r="Q58" s="12">
        <f t="shared" si="76"/>
        <v>6500000</v>
      </c>
      <c r="R58" s="12">
        <f t="shared" si="77"/>
        <v>26000000</v>
      </c>
      <c r="S58" s="12">
        <f t="shared" si="78"/>
        <v>19500000</v>
      </c>
      <c r="T58" s="12">
        <f t="shared" si="79"/>
        <v>13000000</v>
      </c>
      <c r="U58" s="31">
        <v>65000000</v>
      </c>
      <c r="V58" s="49">
        <v>250</v>
      </c>
      <c r="W58" s="49">
        <v>4</v>
      </c>
      <c r="X58" s="32">
        <f t="shared" si="80"/>
        <v>7000000</v>
      </c>
      <c r="Y58" s="32">
        <f t="shared" si="81"/>
        <v>28000000</v>
      </c>
      <c r="Z58" s="32">
        <f t="shared" si="82"/>
        <v>21000000</v>
      </c>
      <c r="AA58" s="32">
        <f t="shared" si="83"/>
        <v>14000000</v>
      </c>
      <c r="AB58" s="31">
        <v>70000000</v>
      </c>
      <c r="AC58" s="49">
        <v>270</v>
      </c>
      <c r="AD58" s="49">
        <v>3</v>
      </c>
      <c r="AE58" s="12">
        <f t="shared" si="84"/>
        <v>19500000</v>
      </c>
      <c r="AF58" s="12">
        <f t="shared" si="84"/>
        <v>78000000</v>
      </c>
      <c r="AG58" s="12">
        <f t="shared" si="84"/>
        <v>58500000</v>
      </c>
      <c r="AH58" s="12">
        <f t="shared" si="84"/>
        <v>39000000</v>
      </c>
      <c r="AI58" s="12">
        <f t="shared" si="84"/>
        <v>195000000</v>
      </c>
      <c r="AJ58" s="12">
        <f t="shared" si="85"/>
        <v>760</v>
      </c>
      <c r="AK58" s="12">
        <f t="shared" si="85"/>
        <v>12</v>
      </c>
      <c r="AL58" s="13">
        <f t="shared" si="17"/>
        <v>10</v>
      </c>
      <c r="AM58" s="13">
        <f t="shared" si="18"/>
        <v>20</v>
      </c>
      <c r="AN58" s="13">
        <f>P58-'[14]THÁNG 7'!L56</f>
        <v>0</v>
      </c>
    </row>
    <row r="59" spans="1:50" ht="14.25" customHeight="1" x14ac:dyDescent="0.15">
      <c r="A59" s="24">
        <v>6</v>
      </c>
      <c r="B59" s="41" t="s">
        <v>174</v>
      </c>
      <c r="C59" s="41" t="s">
        <v>175</v>
      </c>
      <c r="D59" s="41" t="s">
        <v>176</v>
      </c>
      <c r="E59" s="41" t="s">
        <v>177</v>
      </c>
      <c r="F59" s="26">
        <f>SUMIF('[14]DS đạt từ T1-4'!$D:$D,'Quý 3,2025'!$C59,'[14]DS đạt từ T1-4'!$AI:$AI)</f>
        <v>29654285.714285716</v>
      </c>
      <c r="G59" s="26">
        <f>SUMIF('[14]DS đạt từ T1-4'!$D:$D,'Quý 3,2025'!$C59,'[14]DS đạt từ T1-4'!$AN:$AN)</f>
        <v>22130000</v>
      </c>
      <c r="H59" s="26">
        <f>SUMIF([14]T5!D:D,'Quý 3,2025'!C59,[14]T5!AF:AF)</f>
        <v>39354000</v>
      </c>
      <c r="I59" s="27">
        <f t="shared" si="16"/>
        <v>30379428.571428571</v>
      </c>
      <c r="J59" s="12">
        <f t="shared" si="72"/>
        <v>6000000</v>
      </c>
      <c r="K59" s="12">
        <f t="shared" si="73"/>
        <v>24000000</v>
      </c>
      <c r="L59" s="12">
        <f t="shared" si="74"/>
        <v>18000000</v>
      </c>
      <c r="M59" s="12">
        <f t="shared" si="75"/>
        <v>12000000</v>
      </c>
      <c r="N59" s="46">
        <v>60000000</v>
      </c>
      <c r="O59" s="47">
        <v>240</v>
      </c>
      <c r="P59" s="48">
        <v>5</v>
      </c>
      <c r="Q59" s="12">
        <f t="shared" si="76"/>
        <v>6000000</v>
      </c>
      <c r="R59" s="12">
        <f t="shared" si="77"/>
        <v>24000000</v>
      </c>
      <c r="S59" s="12">
        <f t="shared" si="78"/>
        <v>18000000</v>
      </c>
      <c r="T59" s="12">
        <f t="shared" si="79"/>
        <v>12000000</v>
      </c>
      <c r="U59" s="31">
        <v>60000000</v>
      </c>
      <c r="V59" s="47">
        <v>250</v>
      </c>
      <c r="W59" s="48">
        <v>5</v>
      </c>
      <c r="X59" s="32">
        <f t="shared" si="80"/>
        <v>6500000</v>
      </c>
      <c r="Y59" s="32">
        <f t="shared" si="81"/>
        <v>26000000</v>
      </c>
      <c r="Z59" s="32">
        <f t="shared" si="82"/>
        <v>19500000</v>
      </c>
      <c r="AA59" s="32">
        <f t="shared" si="83"/>
        <v>13000000</v>
      </c>
      <c r="AB59" s="31">
        <v>65000000</v>
      </c>
      <c r="AC59" s="47">
        <v>270</v>
      </c>
      <c r="AD59" s="48">
        <v>4</v>
      </c>
      <c r="AE59" s="12">
        <f t="shared" si="84"/>
        <v>18500000</v>
      </c>
      <c r="AF59" s="12">
        <f t="shared" si="84"/>
        <v>74000000</v>
      </c>
      <c r="AG59" s="12">
        <f t="shared" si="84"/>
        <v>55500000</v>
      </c>
      <c r="AH59" s="12">
        <f t="shared" si="84"/>
        <v>37000000</v>
      </c>
      <c r="AI59" s="12">
        <f t="shared" si="84"/>
        <v>185000000</v>
      </c>
      <c r="AJ59" s="12">
        <f t="shared" si="85"/>
        <v>760</v>
      </c>
      <c r="AK59" s="12">
        <f t="shared" si="85"/>
        <v>14</v>
      </c>
      <c r="AL59" s="13">
        <f t="shared" si="17"/>
        <v>10</v>
      </c>
      <c r="AM59" s="13">
        <f t="shared" si="18"/>
        <v>20</v>
      </c>
      <c r="AN59" s="13">
        <f>P59-'[14]THÁNG 7'!L57</f>
        <v>0</v>
      </c>
    </row>
    <row r="60" spans="1:50" s="23" customFormat="1" ht="14.25" customHeight="1" x14ac:dyDescent="0.15">
      <c r="A60" s="34" t="s">
        <v>178</v>
      </c>
      <c r="B60" s="45"/>
      <c r="C60" s="45" t="s">
        <v>179</v>
      </c>
      <c r="D60" s="45"/>
      <c r="E60" s="45"/>
      <c r="F60" s="36">
        <f t="shared" ref="F60:P60" si="86">SUM(F54:F59)</f>
        <v>217096857.14285713</v>
      </c>
      <c r="G60" s="36">
        <f t="shared" si="86"/>
        <v>155626333.33333334</v>
      </c>
      <c r="H60" s="36">
        <f t="shared" si="86"/>
        <v>121525523.80952381</v>
      </c>
      <c r="I60" s="36">
        <f t="shared" si="86"/>
        <v>164749571.4285714</v>
      </c>
      <c r="J60" s="36">
        <f t="shared" si="86"/>
        <v>39500000</v>
      </c>
      <c r="K60" s="36">
        <f t="shared" si="86"/>
        <v>158000000</v>
      </c>
      <c r="L60" s="36">
        <f t="shared" si="86"/>
        <v>118500000</v>
      </c>
      <c r="M60" s="36">
        <f t="shared" si="86"/>
        <v>79000000</v>
      </c>
      <c r="N60" s="37">
        <f t="shared" si="86"/>
        <v>395000000</v>
      </c>
      <c r="O60" s="37">
        <f t="shared" si="86"/>
        <v>1400</v>
      </c>
      <c r="P60" s="37">
        <f t="shared" si="86"/>
        <v>26</v>
      </c>
      <c r="Q60" s="36">
        <f t="shared" ref="Q60:AK60" si="87">SUM(Q54:Q59)</f>
        <v>41500000</v>
      </c>
      <c r="R60" s="36">
        <f t="shared" si="87"/>
        <v>166000000</v>
      </c>
      <c r="S60" s="36">
        <f t="shared" si="87"/>
        <v>124500000</v>
      </c>
      <c r="T60" s="36">
        <f t="shared" si="87"/>
        <v>83000000</v>
      </c>
      <c r="U60" s="37">
        <f>SUM(U54:U59)</f>
        <v>415000000</v>
      </c>
      <c r="V60" s="37">
        <f>SUM(V54:V59)</f>
        <v>1550</v>
      </c>
      <c r="W60" s="37">
        <f>SUM(W54:W59)</f>
        <v>23</v>
      </c>
      <c r="X60" s="36">
        <f t="shared" si="87"/>
        <v>44500000</v>
      </c>
      <c r="Y60" s="36">
        <f t="shared" si="87"/>
        <v>178000000</v>
      </c>
      <c r="Z60" s="36">
        <f t="shared" si="87"/>
        <v>133500000</v>
      </c>
      <c r="AA60" s="36">
        <f t="shared" si="87"/>
        <v>89000000</v>
      </c>
      <c r="AB60" s="37">
        <f t="shared" si="87"/>
        <v>445000000</v>
      </c>
      <c r="AC60" s="37">
        <f t="shared" si="87"/>
        <v>1670</v>
      </c>
      <c r="AD60" s="37">
        <f t="shared" si="87"/>
        <v>20</v>
      </c>
      <c r="AE60" s="36">
        <f t="shared" si="87"/>
        <v>125500000</v>
      </c>
      <c r="AF60" s="36">
        <f t="shared" si="87"/>
        <v>502000000</v>
      </c>
      <c r="AG60" s="36">
        <f t="shared" si="87"/>
        <v>376500000</v>
      </c>
      <c r="AH60" s="36">
        <f t="shared" si="87"/>
        <v>251000000</v>
      </c>
      <c r="AI60" s="36">
        <f t="shared" si="87"/>
        <v>1255000000</v>
      </c>
      <c r="AJ60" s="37">
        <f t="shared" si="87"/>
        <v>4620</v>
      </c>
      <c r="AK60" s="37">
        <f t="shared" si="87"/>
        <v>69</v>
      </c>
      <c r="AL60" s="13">
        <f t="shared" si="17"/>
        <v>150</v>
      </c>
      <c r="AM60" s="13">
        <f t="shared" si="18"/>
        <v>120</v>
      </c>
      <c r="AN60" s="13">
        <f>P60-'[14]THÁNG 7'!L58</f>
        <v>0</v>
      </c>
      <c r="AO60" s="7"/>
      <c r="AP60" s="7"/>
      <c r="AQ60" s="7"/>
      <c r="AR60" s="7"/>
      <c r="AS60" s="7"/>
      <c r="AT60" s="7"/>
      <c r="AU60" s="7"/>
      <c r="AV60" s="7"/>
      <c r="AW60" s="7"/>
      <c r="AX60" s="7"/>
    </row>
    <row r="61" spans="1:50" ht="14.25" customHeight="1" x14ac:dyDescent="0.15">
      <c r="A61" s="24">
        <v>1</v>
      </c>
      <c r="B61" s="41" t="s">
        <v>180</v>
      </c>
      <c r="C61" s="41" t="s">
        <v>181</v>
      </c>
      <c r="D61" s="41" t="s">
        <v>182</v>
      </c>
      <c r="E61" s="41" t="s">
        <v>183</v>
      </c>
      <c r="F61" s="26">
        <f>SUMIF('[14]DS đạt từ T1-4'!$D:$D,'Quý 3,2025'!$C61,'[14]DS đạt từ T1-4'!$AI:$AI)</f>
        <v>80031904.761904761</v>
      </c>
      <c r="G61" s="26">
        <f>SUMIF('[14]DS đạt từ T1-4'!$D:$D,'Quý 3,2025'!$C61,'[14]DS đạt từ T1-4'!$AN:$AN)</f>
        <v>90855428.571428567</v>
      </c>
      <c r="H61" s="26">
        <f>SUMIF([14]T5!D:D,'Quý 3,2025'!C61,[14]T5!AF:AF)</f>
        <v>63446428.571428567</v>
      </c>
      <c r="I61" s="27">
        <f t="shared" si="16"/>
        <v>78111253.968253955</v>
      </c>
      <c r="J61" s="12">
        <f t="shared" ref="J61:J68" si="88">J$9*N61</f>
        <v>9000000</v>
      </c>
      <c r="K61" s="12">
        <f t="shared" ref="K61:K68" si="89">K$9*N61</f>
        <v>36000000</v>
      </c>
      <c r="L61" s="12">
        <f t="shared" ref="L61:L68" si="90">L$9*N61</f>
        <v>27000000</v>
      </c>
      <c r="M61" s="12">
        <f t="shared" ref="M61:M68" si="91">M$9*N61</f>
        <v>18000000</v>
      </c>
      <c r="N61" s="42">
        <v>90000000</v>
      </c>
      <c r="O61" s="43">
        <v>300</v>
      </c>
      <c r="P61" s="44">
        <v>2</v>
      </c>
      <c r="Q61" s="12">
        <f t="shared" ref="Q61:Q68" si="92">Q$9*U61</f>
        <v>9500000</v>
      </c>
      <c r="R61" s="12">
        <f t="shared" ref="R61:R68" si="93">R$9*U61</f>
        <v>38000000</v>
      </c>
      <c r="S61" s="12">
        <f t="shared" ref="S61:S68" si="94">S$9*U61</f>
        <v>28500000</v>
      </c>
      <c r="T61" s="12">
        <f t="shared" ref="T61:T68" si="95">T$9*U61</f>
        <v>19000000</v>
      </c>
      <c r="U61" s="31">
        <v>95000000</v>
      </c>
      <c r="V61" s="43">
        <v>320</v>
      </c>
      <c r="W61" s="44">
        <v>2</v>
      </c>
      <c r="X61" s="32">
        <f t="shared" ref="X61:X68" si="96">X$9*AB61</f>
        <v>10000000</v>
      </c>
      <c r="Y61" s="32">
        <f t="shared" ref="Y61:Y68" si="97">Y$9*AB61</f>
        <v>40000000</v>
      </c>
      <c r="Z61" s="32">
        <f t="shared" ref="Z61:Z68" si="98">Z$9*AB61</f>
        <v>30000000</v>
      </c>
      <c r="AA61" s="32">
        <f t="shared" ref="AA61:AA68" si="99">AA$9*AB61</f>
        <v>20000000</v>
      </c>
      <c r="AB61" s="31">
        <v>100000000</v>
      </c>
      <c r="AC61" s="43">
        <v>340</v>
      </c>
      <c r="AD61" s="44">
        <v>2</v>
      </c>
      <c r="AE61" s="12">
        <f t="shared" ref="AE61:AI68" si="100">SUMIF($J$12:$AB$12,AE$12,$J61:$AB61)</f>
        <v>28500000</v>
      </c>
      <c r="AF61" s="12">
        <f t="shared" si="100"/>
        <v>114000000</v>
      </c>
      <c r="AG61" s="12">
        <f t="shared" si="100"/>
        <v>85500000</v>
      </c>
      <c r="AH61" s="12">
        <f t="shared" si="100"/>
        <v>57000000</v>
      </c>
      <c r="AI61" s="12">
        <f t="shared" si="100"/>
        <v>285000000</v>
      </c>
      <c r="AJ61" s="12">
        <f t="shared" ref="AJ61:AK68" si="101">SUMIF($J$11:$AD$11,AJ$11,$J61:$AD61)</f>
        <v>960</v>
      </c>
      <c r="AK61" s="12">
        <f t="shared" si="101"/>
        <v>6</v>
      </c>
      <c r="AL61" s="13">
        <f t="shared" si="17"/>
        <v>20</v>
      </c>
      <c r="AM61" s="13">
        <f t="shared" si="18"/>
        <v>20</v>
      </c>
      <c r="AN61" s="13">
        <f>P61-'[14]THÁNG 7'!L59</f>
        <v>0</v>
      </c>
    </row>
    <row r="62" spans="1:50" s="1" customFormat="1" ht="14.25" customHeight="1" x14ac:dyDescent="0.15">
      <c r="A62" s="24">
        <v>2</v>
      </c>
      <c r="B62" s="41" t="s">
        <v>184</v>
      </c>
      <c r="C62" s="41" t="s">
        <v>185</v>
      </c>
      <c r="D62" s="41" t="s">
        <v>186</v>
      </c>
      <c r="E62" s="41" t="s">
        <v>187</v>
      </c>
      <c r="F62" s="26">
        <f>SUMIF('[14]DS đạt từ T1-4'!$D:$D,'Quý 3,2025'!$C62,'[14]DS đạt từ T1-4'!$AI:$AI)</f>
        <v>80196095.238095239</v>
      </c>
      <c r="G62" s="26">
        <f>SUMIF('[14]DS đạt từ T1-4'!$D:$D,'Quý 3,2025'!$C62,'[14]DS đạt từ T1-4'!$AN:$AN)</f>
        <v>91138285.714285716</v>
      </c>
      <c r="H62" s="26">
        <f>SUMIF([14]T5!D:D,'Quý 3,2025'!C62,[14]T5!AF:AF)</f>
        <v>63909523.809523806</v>
      </c>
      <c r="I62" s="27">
        <f t="shared" si="16"/>
        <v>78414634.920634925</v>
      </c>
      <c r="J62" s="12">
        <f t="shared" si="88"/>
        <v>9000000</v>
      </c>
      <c r="K62" s="12">
        <f t="shared" si="89"/>
        <v>36000000</v>
      </c>
      <c r="L62" s="12">
        <f t="shared" si="90"/>
        <v>27000000</v>
      </c>
      <c r="M62" s="12">
        <f t="shared" si="91"/>
        <v>18000000</v>
      </c>
      <c r="N62" s="42">
        <v>90000000</v>
      </c>
      <c r="O62" s="29">
        <v>300</v>
      </c>
      <c r="P62" s="30">
        <v>2</v>
      </c>
      <c r="Q62" s="12">
        <f t="shared" si="92"/>
        <v>9500000</v>
      </c>
      <c r="R62" s="12">
        <f t="shared" si="93"/>
        <v>38000000</v>
      </c>
      <c r="S62" s="12">
        <f t="shared" si="94"/>
        <v>28500000</v>
      </c>
      <c r="T62" s="12">
        <f t="shared" si="95"/>
        <v>19000000</v>
      </c>
      <c r="U62" s="31">
        <v>95000000</v>
      </c>
      <c r="V62" s="29">
        <v>320</v>
      </c>
      <c r="W62" s="30">
        <v>2</v>
      </c>
      <c r="X62" s="32">
        <f t="shared" si="96"/>
        <v>10000000</v>
      </c>
      <c r="Y62" s="32">
        <f t="shared" si="97"/>
        <v>40000000</v>
      </c>
      <c r="Z62" s="32">
        <f t="shared" si="98"/>
        <v>30000000</v>
      </c>
      <c r="AA62" s="32">
        <f t="shared" si="99"/>
        <v>20000000</v>
      </c>
      <c r="AB62" s="31">
        <v>100000000</v>
      </c>
      <c r="AC62" s="29">
        <v>340</v>
      </c>
      <c r="AD62" s="30">
        <v>2</v>
      </c>
      <c r="AE62" s="12">
        <f t="shared" si="100"/>
        <v>28500000</v>
      </c>
      <c r="AF62" s="12">
        <f t="shared" si="100"/>
        <v>114000000</v>
      </c>
      <c r="AG62" s="12">
        <f t="shared" si="100"/>
        <v>85500000</v>
      </c>
      <c r="AH62" s="12">
        <f t="shared" si="100"/>
        <v>57000000</v>
      </c>
      <c r="AI62" s="12">
        <f t="shared" si="100"/>
        <v>285000000</v>
      </c>
      <c r="AJ62" s="12">
        <f t="shared" si="101"/>
        <v>960</v>
      </c>
      <c r="AK62" s="12">
        <f t="shared" si="101"/>
        <v>6</v>
      </c>
      <c r="AL62" s="13">
        <f t="shared" si="17"/>
        <v>20</v>
      </c>
      <c r="AM62" s="13">
        <f t="shared" si="18"/>
        <v>20</v>
      </c>
      <c r="AN62" s="13">
        <f>P62-'[14]THÁNG 7'!L60</f>
        <v>0</v>
      </c>
      <c r="AO62" s="7"/>
      <c r="AP62" s="7"/>
      <c r="AQ62" s="7"/>
      <c r="AR62" s="7"/>
      <c r="AS62" s="7"/>
      <c r="AT62" s="7"/>
      <c r="AU62" s="7"/>
      <c r="AV62" s="7"/>
      <c r="AW62" s="7"/>
      <c r="AX62" s="7"/>
    </row>
    <row r="63" spans="1:50" ht="14.25" customHeight="1" x14ac:dyDescent="0.15">
      <c r="A63" s="24">
        <v>3</v>
      </c>
      <c r="B63" s="41" t="s">
        <v>188</v>
      </c>
      <c r="C63" s="41" t="s">
        <v>189</v>
      </c>
      <c r="D63" s="41" t="s">
        <v>190</v>
      </c>
      <c r="E63" s="41" t="s">
        <v>191</v>
      </c>
      <c r="F63" s="26">
        <f>SUMIF('[14]DS đạt từ T1-4'!$D:$D,'Quý 3,2025'!$C63,'[14]DS đạt từ T1-4'!$AI:$AI)</f>
        <v>84946857.142857134</v>
      </c>
      <c r="G63" s="26">
        <f>SUMIF('[14]DS đạt từ T1-4'!$D:$D,'Quý 3,2025'!$C63,'[14]DS đạt từ T1-4'!$AN:$AN)</f>
        <v>90417142.857142851</v>
      </c>
      <c r="H63" s="26">
        <f>SUMIF([14]T5!D:D,'Quý 3,2025'!C63,[14]T5!AF:AF)</f>
        <v>65330714.285714284</v>
      </c>
      <c r="I63" s="27">
        <f t="shared" si="16"/>
        <v>80231571.428571418</v>
      </c>
      <c r="J63" s="12">
        <f t="shared" si="88"/>
        <v>9000000</v>
      </c>
      <c r="K63" s="12">
        <f t="shared" si="89"/>
        <v>36000000</v>
      </c>
      <c r="L63" s="12">
        <f t="shared" si="90"/>
        <v>27000000</v>
      </c>
      <c r="M63" s="12">
        <f t="shared" si="91"/>
        <v>18000000</v>
      </c>
      <c r="N63" s="42">
        <v>90000000</v>
      </c>
      <c r="O63" s="29">
        <v>320</v>
      </c>
      <c r="P63" s="30">
        <v>2</v>
      </c>
      <c r="Q63" s="12">
        <f t="shared" si="92"/>
        <v>9500000</v>
      </c>
      <c r="R63" s="12">
        <f t="shared" si="93"/>
        <v>38000000</v>
      </c>
      <c r="S63" s="12">
        <f t="shared" si="94"/>
        <v>28500000</v>
      </c>
      <c r="T63" s="12">
        <f t="shared" si="95"/>
        <v>19000000</v>
      </c>
      <c r="U63" s="31">
        <v>95000000</v>
      </c>
      <c r="V63" s="29">
        <v>340</v>
      </c>
      <c r="W63" s="30">
        <v>2</v>
      </c>
      <c r="X63" s="32">
        <f t="shared" si="96"/>
        <v>10000000</v>
      </c>
      <c r="Y63" s="32">
        <f t="shared" si="97"/>
        <v>40000000</v>
      </c>
      <c r="Z63" s="32">
        <f t="shared" si="98"/>
        <v>30000000</v>
      </c>
      <c r="AA63" s="32">
        <f t="shared" si="99"/>
        <v>20000000</v>
      </c>
      <c r="AB63" s="31">
        <v>100000000</v>
      </c>
      <c r="AC63" s="29">
        <v>360</v>
      </c>
      <c r="AD63" s="30">
        <v>2</v>
      </c>
      <c r="AE63" s="12">
        <f t="shared" si="100"/>
        <v>28500000</v>
      </c>
      <c r="AF63" s="12">
        <f t="shared" si="100"/>
        <v>114000000</v>
      </c>
      <c r="AG63" s="12">
        <f t="shared" si="100"/>
        <v>85500000</v>
      </c>
      <c r="AH63" s="12">
        <f t="shared" si="100"/>
        <v>57000000</v>
      </c>
      <c r="AI63" s="12">
        <f t="shared" si="100"/>
        <v>285000000</v>
      </c>
      <c r="AJ63" s="12">
        <f t="shared" si="101"/>
        <v>1020</v>
      </c>
      <c r="AK63" s="12">
        <f t="shared" si="101"/>
        <v>6</v>
      </c>
      <c r="AL63" s="13">
        <f t="shared" si="17"/>
        <v>20</v>
      </c>
      <c r="AM63" s="13">
        <f t="shared" si="18"/>
        <v>20</v>
      </c>
      <c r="AN63" s="13">
        <f>P63-'[14]THÁNG 7'!L61</f>
        <v>0</v>
      </c>
    </row>
    <row r="64" spans="1:50" ht="14.25" customHeight="1" x14ac:dyDescent="0.15">
      <c r="A64" s="24">
        <v>4</v>
      </c>
      <c r="B64" s="41" t="s">
        <v>192</v>
      </c>
      <c r="C64" s="41" t="s">
        <v>193</v>
      </c>
      <c r="D64" s="41" t="s">
        <v>194</v>
      </c>
      <c r="E64" s="41" t="s">
        <v>195</v>
      </c>
      <c r="F64" s="26">
        <f>SUMIF('[14]DS đạt từ T1-4'!$D:$D,'Quý 3,2025'!$C64,'[14]DS đạt từ T1-4'!$AI:$AI)</f>
        <v>86924047.619047612</v>
      </c>
      <c r="G64" s="26">
        <f>SUMIF('[14]DS đạt từ T1-4'!$D:$D,'Quý 3,2025'!$C64,'[14]DS đạt từ T1-4'!$AN:$AN)</f>
        <v>90957857.142857134</v>
      </c>
      <c r="H64" s="26">
        <f>SUMIF([14]T5!D:D,'Quý 3,2025'!C64,[14]T5!AF:AF)</f>
        <v>64629285.714285716</v>
      </c>
      <c r="I64" s="27">
        <f t="shared" si="16"/>
        <v>80837063.492063478</v>
      </c>
      <c r="J64" s="12">
        <f t="shared" si="88"/>
        <v>9000000</v>
      </c>
      <c r="K64" s="12">
        <f t="shared" si="89"/>
        <v>36000000</v>
      </c>
      <c r="L64" s="12">
        <f t="shared" si="90"/>
        <v>27000000</v>
      </c>
      <c r="M64" s="12">
        <f t="shared" si="91"/>
        <v>18000000</v>
      </c>
      <c r="N64" s="42">
        <v>90000000</v>
      </c>
      <c r="O64" s="29">
        <v>320</v>
      </c>
      <c r="P64" s="30">
        <v>2</v>
      </c>
      <c r="Q64" s="12">
        <f t="shared" si="92"/>
        <v>9500000</v>
      </c>
      <c r="R64" s="12">
        <f t="shared" si="93"/>
        <v>38000000</v>
      </c>
      <c r="S64" s="12">
        <f t="shared" si="94"/>
        <v>28500000</v>
      </c>
      <c r="T64" s="12">
        <f t="shared" si="95"/>
        <v>19000000</v>
      </c>
      <c r="U64" s="31">
        <v>95000000</v>
      </c>
      <c r="V64" s="29">
        <v>340</v>
      </c>
      <c r="W64" s="30">
        <v>2</v>
      </c>
      <c r="X64" s="32">
        <f t="shared" si="96"/>
        <v>10000000</v>
      </c>
      <c r="Y64" s="32">
        <f t="shared" si="97"/>
        <v>40000000</v>
      </c>
      <c r="Z64" s="32">
        <f t="shared" si="98"/>
        <v>30000000</v>
      </c>
      <c r="AA64" s="32">
        <f t="shared" si="99"/>
        <v>20000000</v>
      </c>
      <c r="AB64" s="31">
        <v>100000000</v>
      </c>
      <c r="AC64" s="29">
        <v>360</v>
      </c>
      <c r="AD64" s="30">
        <v>2</v>
      </c>
      <c r="AE64" s="12">
        <f t="shared" si="100"/>
        <v>28500000</v>
      </c>
      <c r="AF64" s="12">
        <f t="shared" si="100"/>
        <v>114000000</v>
      </c>
      <c r="AG64" s="12">
        <f t="shared" si="100"/>
        <v>85500000</v>
      </c>
      <c r="AH64" s="12">
        <f t="shared" si="100"/>
        <v>57000000</v>
      </c>
      <c r="AI64" s="12">
        <f t="shared" si="100"/>
        <v>285000000</v>
      </c>
      <c r="AJ64" s="12">
        <f t="shared" si="101"/>
        <v>1020</v>
      </c>
      <c r="AK64" s="12">
        <f t="shared" si="101"/>
        <v>6</v>
      </c>
      <c r="AL64" s="13">
        <f t="shared" si="17"/>
        <v>20</v>
      </c>
      <c r="AM64" s="13">
        <f t="shared" si="18"/>
        <v>20</v>
      </c>
      <c r="AN64" s="13">
        <f>P64-'[14]THÁNG 7'!L62</f>
        <v>0</v>
      </c>
    </row>
    <row r="65" spans="1:50" ht="14.25" customHeight="1" x14ac:dyDescent="0.15">
      <c r="A65" s="24">
        <v>5</v>
      </c>
      <c r="B65" s="41" t="s">
        <v>196</v>
      </c>
      <c r="C65" s="41" t="s">
        <v>197</v>
      </c>
      <c r="D65" s="41" t="s">
        <v>198</v>
      </c>
      <c r="E65" s="41" t="s">
        <v>199</v>
      </c>
      <c r="F65" s="26">
        <f>SUMIF('[14]DS đạt từ T1-4'!$D:$D,'Quý 3,2025'!$C65,'[14]DS đạt từ T1-4'!$AI:$AI)</f>
        <v>133046785.7142857</v>
      </c>
      <c r="G65" s="26">
        <f>SUMIF('[14]DS đạt từ T1-4'!$D:$D,'Quý 3,2025'!$C65,'[14]DS đạt từ T1-4'!$AN:$AN)</f>
        <v>121462190.47619048</v>
      </c>
      <c r="H65" s="26">
        <f>SUMIF([14]T5!D:D,'Quý 3,2025'!C65,[14]T5!AF:AF)</f>
        <v>145078833.33333331</v>
      </c>
      <c r="I65" s="27">
        <f t="shared" si="16"/>
        <v>133195936.50793649</v>
      </c>
      <c r="J65" s="12">
        <f t="shared" si="88"/>
        <v>13000000</v>
      </c>
      <c r="K65" s="12">
        <f t="shared" si="89"/>
        <v>52000000</v>
      </c>
      <c r="L65" s="12">
        <f t="shared" si="90"/>
        <v>39000000</v>
      </c>
      <c r="M65" s="12">
        <f t="shared" si="91"/>
        <v>26000000</v>
      </c>
      <c r="N65" s="42">
        <v>130000000</v>
      </c>
      <c r="O65" s="43">
        <v>450</v>
      </c>
      <c r="P65" s="44">
        <v>5</v>
      </c>
      <c r="Q65" s="12">
        <f t="shared" si="92"/>
        <v>13500000</v>
      </c>
      <c r="R65" s="12">
        <f t="shared" si="93"/>
        <v>54000000</v>
      </c>
      <c r="S65" s="12">
        <f t="shared" si="94"/>
        <v>40500000</v>
      </c>
      <c r="T65" s="12">
        <f t="shared" si="95"/>
        <v>27000000</v>
      </c>
      <c r="U65" s="31">
        <v>135000000</v>
      </c>
      <c r="V65" s="43">
        <v>480</v>
      </c>
      <c r="W65" s="44">
        <v>4</v>
      </c>
      <c r="X65" s="32">
        <f t="shared" si="96"/>
        <v>14000000</v>
      </c>
      <c r="Y65" s="32">
        <f t="shared" si="97"/>
        <v>56000000</v>
      </c>
      <c r="Z65" s="32">
        <f t="shared" si="98"/>
        <v>42000000</v>
      </c>
      <c r="AA65" s="32">
        <f t="shared" si="99"/>
        <v>28000000</v>
      </c>
      <c r="AB65" s="31">
        <v>140000000</v>
      </c>
      <c r="AC65" s="43">
        <v>500</v>
      </c>
      <c r="AD65" s="44">
        <v>3</v>
      </c>
      <c r="AE65" s="12">
        <f t="shared" si="100"/>
        <v>40500000</v>
      </c>
      <c r="AF65" s="12">
        <f t="shared" si="100"/>
        <v>162000000</v>
      </c>
      <c r="AG65" s="12">
        <f t="shared" si="100"/>
        <v>121500000</v>
      </c>
      <c r="AH65" s="12">
        <f t="shared" si="100"/>
        <v>81000000</v>
      </c>
      <c r="AI65" s="12">
        <f t="shared" si="100"/>
        <v>405000000</v>
      </c>
      <c r="AJ65" s="12">
        <f t="shared" si="101"/>
        <v>1430</v>
      </c>
      <c r="AK65" s="12">
        <f t="shared" si="101"/>
        <v>12</v>
      </c>
      <c r="AL65" s="13">
        <f t="shared" si="17"/>
        <v>30</v>
      </c>
      <c r="AM65" s="13">
        <f t="shared" si="18"/>
        <v>20</v>
      </c>
      <c r="AN65" s="13">
        <f>P65-'[14]THÁNG 7'!L63</f>
        <v>0</v>
      </c>
    </row>
    <row r="66" spans="1:50" ht="14.25" customHeight="1" x14ac:dyDescent="0.15">
      <c r="A66" s="24">
        <v>6</v>
      </c>
      <c r="B66" s="41" t="s">
        <v>200</v>
      </c>
      <c r="C66" s="41" t="s">
        <v>201</v>
      </c>
      <c r="D66" s="41" t="s">
        <v>198</v>
      </c>
      <c r="E66" s="41" t="s">
        <v>202</v>
      </c>
      <c r="F66" s="26">
        <f>SUMIF('[14]DS đạt từ T1-4'!$D:$D,'Quý 3,2025'!$C66,'[14]DS đạt từ T1-4'!$AI:$AI)</f>
        <v>133046785.7142857</v>
      </c>
      <c r="G66" s="26">
        <f>SUMIF('[14]DS đạt từ T1-4'!$D:$D,'Quý 3,2025'!$C66,'[14]DS đạt từ T1-4'!$AN:$AN)</f>
        <v>121462190.47619048</v>
      </c>
      <c r="H66" s="26">
        <f>SUMIF([14]T5!D:D,'Quý 3,2025'!C66,[14]T5!AF:AF)</f>
        <v>145078833.33333331</v>
      </c>
      <c r="I66" s="27">
        <f t="shared" si="16"/>
        <v>133195936.50793649</v>
      </c>
      <c r="J66" s="12">
        <f t="shared" si="88"/>
        <v>13000000</v>
      </c>
      <c r="K66" s="12">
        <f t="shared" si="89"/>
        <v>52000000</v>
      </c>
      <c r="L66" s="12">
        <f t="shared" si="90"/>
        <v>39000000</v>
      </c>
      <c r="M66" s="12">
        <f t="shared" si="91"/>
        <v>26000000</v>
      </c>
      <c r="N66" s="42">
        <v>130000000</v>
      </c>
      <c r="O66" s="43">
        <v>450</v>
      </c>
      <c r="P66" s="44">
        <v>5</v>
      </c>
      <c r="Q66" s="12">
        <f t="shared" si="92"/>
        <v>13500000</v>
      </c>
      <c r="R66" s="12">
        <f t="shared" si="93"/>
        <v>54000000</v>
      </c>
      <c r="S66" s="12">
        <f t="shared" si="94"/>
        <v>40500000</v>
      </c>
      <c r="T66" s="12">
        <f t="shared" si="95"/>
        <v>27000000</v>
      </c>
      <c r="U66" s="31">
        <v>135000000</v>
      </c>
      <c r="V66" s="43">
        <v>480</v>
      </c>
      <c r="W66" s="44">
        <v>4</v>
      </c>
      <c r="X66" s="32">
        <f t="shared" si="96"/>
        <v>14000000</v>
      </c>
      <c r="Y66" s="32">
        <f t="shared" si="97"/>
        <v>56000000</v>
      </c>
      <c r="Z66" s="32">
        <f t="shared" si="98"/>
        <v>42000000</v>
      </c>
      <c r="AA66" s="32">
        <f t="shared" si="99"/>
        <v>28000000</v>
      </c>
      <c r="AB66" s="31">
        <v>140000000</v>
      </c>
      <c r="AC66" s="43">
        <v>500</v>
      </c>
      <c r="AD66" s="44">
        <v>3</v>
      </c>
      <c r="AE66" s="12">
        <f t="shared" si="100"/>
        <v>40500000</v>
      </c>
      <c r="AF66" s="12">
        <f t="shared" si="100"/>
        <v>162000000</v>
      </c>
      <c r="AG66" s="12">
        <f t="shared" si="100"/>
        <v>121500000</v>
      </c>
      <c r="AH66" s="12">
        <f t="shared" si="100"/>
        <v>81000000</v>
      </c>
      <c r="AI66" s="12">
        <f t="shared" si="100"/>
        <v>405000000</v>
      </c>
      <c r="AJ66" s="12">
        <f t="shared" si="101"/>
        <v>1430</v>
      </c>
      <c r="AK66" s="12">
        <f t="shared" si="101"/>
        <v>12</v>
      </c>
      <c r="AL66" s="13">
        <f t="shared" si="17"/>
        <v>30</v>
      </c>
      <c r="AM66" s="13">
        <f t="shared" si="18"/>
        <v>20</v>
      </c>
      <c r="AN66" s="13">
        <f>P66-'[14]THÁNG 7'!L64</f>
        <v>0</v>
      </c>
    </row>
    <row r="67" spans="1:50" ht="14.25" customHeight="1" x14ac:dyDescent="0.15">
      <c r="A67" s="24">
        <v>7</v>
      </c>
      <c r="B67" s="41" t="s">
        <v>203</v>
      </c>
      <c r="C67" s="41" t="s">
        <v>204</v>
      </c>
      <c r="D67" s="41" t="s">
        <v>205</v>
      </c>
      <c r="E67" s="41" t="s">
        <v>206</v>
      </c>
      <c r="F67" s="26">
        <f>SUMIF('[14]DS đạt từ T1-4'!$D:$D,'Quý 3,2025'!$C67,'[14]DS đạt từ T1-4'!$AI:$AI)</f>
        <v>50050000</v>
      </c>
      <c r="G67" s="26">
        <f>SUMIF('[14]DS đạt từ T1-4'!$D:$D,'Quý 3,2025'!$C67,'[14]DS đạt từ T1-4'!$AN:$AN)</f>
        <v>41925000</v>
      </c>
      <c r="H67" s="26">
        <f>SUMIF([14]T5!D:D,'Quý 3,2025'!C67,[14]T5!AF:AF)</f>
        <v>43980000</v>
      </c>
      <c r="I67" s="27">
        <f t="shared" si="16"/>
        <v>45318333.333333336</v>
      </c>
      <c r="J67" s="12">
        <f t="shared" si="88"/>
        <v>13000000</v>
      </c>
      <c r="K67" s="12">
        <f t="shared" si="89"/>
        <v>52000000</v>
      </c>
      <c r="L67" s="12">
        <f t="shared" si="90"/>
        <v>39000000</v>
      </c>
      <c r="M67" s="12">
        <f t="shared" si="91"/>
        <v>26000000</v>
      </c>
      <c r="N67" s="28">
        <v>130000000</v>
      </c>
      <c r="O67" s="29"/>
      <c r="P67" s="30">
        <v>0</v>
      </c>
      <c r="Q67" s="12">
        <f t="shared" si="92"/>
        <v>13500000</v>
      </c>
      <c r="R67" s="12">
        <f t="shared" si="93"/>
        <v>54000000</v>
      </c>
      <c r="S67" s="12">
        <f t="shared" si="94"/>
        <v>40500000</v>
      </c>
      <c r="T67" s="12">
        <f t="shared" si="95"/>
        <v>27000000</v>
      </c>
      <c r="U67" s="31">
        <v>135000000</v>
      </c>
      <c r="V67" s="29"/>
      <c r="W67" s="30">
        <v>0</v>
      </c>
      <c r="X67" s="32">
        <f t="shared" si="96"/>
        <v>14000000</v>
      </c>
      <c r="Y67" s="32">
        <f t="shared" si="97"/>
        <v>56000000</v>
      </c>
      <c r="Z67" s="32">
        <f t="shared" si="98"/>
        <v>42000000</v>
      </c>
      <c r="AA67" s="32">
        <f t="shared" si="99"/>
        <v>28000000</v>
      </c>
      <c r="AB67" s="31">
        <v>140000000</v>
      </c>
      <c r="AC67" s="29"/>
      <c r="AD67" s="30">
        <v>0</v>
      </c>
      <c r="AE67" s="12">
        <f t="shared" si="100"/>
        <v>40500000</v>
      </c>
      <c r="AF67" s="12">
        <f t="shared" si="100"/>
        <v>162000000</v>
      </c>
      <c r="AG67" s="12">
        <f t="shared" si="100"/>
        <v>121500000</v>
      </c>
      <c r="AH67" s="12">
        <f t="shared" si="100"/>
        <v>81000000</v>
      </c>
      <c r="AI67" s="12">
        <f t="shared" si="100"/>
        <v>405000000</v>
      </c>
      <c r="AJ67" s="12">
        <f t="shared" si="101"/>
        <v>0</v>
      </c>
      <c r="AK67" s="12">
        <f t="shared" si="101"/>
        <v>0</v>
      </c>
      <c r="AL67" s="13">
        <f t="shared" si="17"/>
        <v>0</v>
      </c>
      <c r="AM67" s="13">
        <f t="shared" si="18"/>
        <v>0</v>
      </c>
      <c r="AN67" s="13">
        <f>P67-'[14]THÁNG 7'!L65</f>
        <v>0</v>
      </c>
    </row>
    <row r="68" spans="1:50" ht="14.25" customHeight="1" x14ac:dyDescent="0.15">
      <c r="A68" s="24">
        <v>8</v>
      </c>
      <c r="B68" s="41" t="s">
        <v>207</v>
      </c>
      <c r="C68" s="41" t="s">
        <v>208</v>
      </c>
      <c r="D68" s="41" t="s">
        <v>205</v>
      </c>
      <c r="E68" s="41" t="s">
        <v>209</v>
      </c>
      <c r="F68" s="33">
        <v>5198571.4285714291</v>
      </c>
      <c r="G68" s="33">
        <v>8939285.7142857146</v>
      </c>
      <c r="H68" s="26">
        <f>SUMIF([14]T5!D:D,'Quý 3,2025'!C68,[14]T5!AF:AF)</f>
        <v>0</v>
      </c>
      <c r="I68" s="27">
        <f t="shared" si="16"/>
        <v>4712619.0476190476</v>
      </c>
      <c r="J68" s="12">
        <f t="shared" si="88"/>
        <v>6000000</v>
      </c>
      <c r="K68" s="12">
        <f t="shared" si="89"/>
        <v>24000000</v>
      </c>
      <c r="L68" s="12">
        <f t="shared" si="90"/>
        <v>18000000</v>
      </c>
      <c r="M68" s="12">
        <f t="shared" si="91"/>
        <v>12000000</v>
      </c>
      <c r="N68" s="46">
        <v>60000000</v>
      </c>
      <c r="O68" s="50">
        <v>250</v>
      </c>
      <c r="P68" s="51">
        <v>6</v>
      </c>
      <c r="Q68" s="12">
        <f t="shared" si="92"/>
        <v>6500000</v>
      </c>
      <c r="R68" s="12">
        <f t="shared" si="93"/>
        <v>26000000</v>
      </c>
      <c r="S68" s="12">
        <f t="shared" si="94"/>
        <v>19500000</v>
      </c>
      <c r="T68" s="12">
        <f t="shared" si="95"/>
        <v>13000000</v>
      </c>
      <c r="U68" s="31">
        <v>65000000</v>
      </c>
      <c r="V68" s="50">
        <v>300</v>
      </c>
      <c r="W68" s="51">
        <v>6</v>
      </c>
      <c r="X68" s="32">
        <f t="shared" si="96"/>
        <v>7000000</v>
      </c>
      <c r="Y68" s="32">
        <f t="shared" si="97"/>
        <v>28000000</v>
      </c>
      <c r="Z68" s="32">
        <f t="shared" si="98"/>
        <v>21000000</v>
      </c>
      <c r="AA68" s="32">
        <f t="shared" si="99"/>
        <v>14000000</v>
      </c>
      <c r="AB68" s="31">
        <v>70000000</v>
      </c>
      <c r="AC68" s="50">
        <v>320</v>
      </c>
      <c r="AD68" s="51">
        <v>4</v>
      </c>
      <c r="AE68" s="12">
        <f t="shared" si="100"/>
        <v>19500000</v>
      </c>
      <c r="AF68" s="12">
        <f t="shared" si="100"/>
        <v>78000000</v>
      </c>
      <c r="AG68" s="12">
        <f t="shared" si="100"/>
        <v>58500000</v>
      </c>
      <c r="AH68" s="12">
        <f t="shared" si="100"/>
        <v>39000000</v>
      </c>
      <c r="AI68" s="12">
        <f t="shared" si="100"/>
        <v>195000000</v>
      </c>
      <c r="AJ68" s="12">
        <f t="shared" si="101"/>
        <v>870</v>
      </c>
      <c r="AK68" s="12">
        <f t="shared" si="101"/>
        <v>16</v>
      </c>
      <c r="AL68" s="13">
        <f t="shared" si="17"/>
        <v>50</v>
      </c>
      <c r="AM68" s="13">
        <f t="shared" si="18"/>
        <v>20</v>
      </c>
      <c r="AN68" s="13">
        <f>P68-'[14]THÁNG 7'!L66</f>
        <v>0</v>
      </c>
    </row>
    <row r="69" spans="1:50" s="23" customFormat="1" ht="14.25" customHeight="1" x14ac:dyDescent="0.15">
      <c r="A69" s="34" t="s">
        <v>210</v>
      </c>
      <c r="B69" s="20"/>
      <c r="C69" s="20" t="s">
        <v>211</v>
      </c>
      <c r="D69" s="45"/>
      <c r="E69" s="45"/>
      <c r="F69" s="36">
        <f t="shared" ref="F69:P69" si="102">SUM(F61:F68)</f>
        <v>653441047.61904764</v>
      </c>
      <c r="G69" s="36">
        <f t="shared" si="102"/>
        <v>657157380.9523809</v>
      </c>
      <c r="H69" s="36">
        <f t="shared" si="102"/>
        <v>591453619.04761899</v>
      </c>
      <c r="I69" s="36">
        <f t="shared" si="102"/>
        <v>634017349.20634925</v>
      </c>
      <c r="J69" s="36">
        <f t="shared" si="102"/>
        <v>81000000</v>
      </c>
      <c r="K69" s="36">
        <f t="shared" si="102"/>
        <v>324000000</v>
      </c>
      <c r="L69" s="36">
        <f t="shared" si="102"/>
        <v>243000000</v>
      </c>
      <c r="M69" s="36">
        <f t="shared" si="102"/>
        <v>162000000</v>
      </c>
      <c r="N69" s="37">
        <f t="shared" si="102"/>
        <v>810000000</v>
      </c>
      <c r="O69" s="37">
        <f t="shared" si="102"/>
        <v>2390</v>
      </c>
      <c r="P69" s="37">
        <f t="shared" si="102"/>
        <v>24</v>
      </c>
      <c r="Q69" s="36">
        <f t="shared" ref="Q69:AK69" si="103">SUM(Q61:Q68)</f>
        <v>85000000</v>
      </c>
      <c r="R69" s="36">
        <f t="shared" si="103"/>
        <v>340000000</v>
      </c>
      <c r="S69" s="36">
        <f t="shared" si="103"/>
        <v>255000000</v>
      </c>
      <c r="T69" s="36">
        <f t="shared" si="103"/>
        <v>170000000</v>
      </c>
      <c r="U69" s="37">
        <f t="shared" si="103"/>
        <v>850000000</v>
      </c>
      <c r="V69" s="37">
        <f>SUM(V61:V68)</f>
        <v>2580</v>
      </c>
      <c r="W69" s="37">
        <f>SUM(W61:W68)</f>
        <v>22</v>
      </c>
      <c r="X69" s="36">
        <f t="shared" si="103"/>
        <v>89000000</v>
      </c>
      <c r="Y69" s="36">
        <f t="shared" si="103"/>
        <v>356000000</v>
      </c>
      <c r="Z69" s="36">
        <f t="shared" si="103"/>
        <v>267000000</v>
      </c>
      <c r="AA69" s="36">
        <f t="shared" si="103"/>
        <v>178000000</v>
      </c>
      <c r="AB69" s="37">
        <f t="shared" si="103"/>
        <v>890000000</v>
      </c>
      <c r="AC69" s="37">
        <f t="shared" si="103"/>
        <v>2720</v>
      </c>
      <c r="AD69" s="37">
        <f t="shared" si="103"/>
        <v>18</v>
      </c>
      <c r="AE69" s="36">
        <f t="shared" si="103"/>
        <v>255000000</v>
      </c>
      <c r="AF69" s="36">
        <f t="shared" si="103"/>
        <v>1020000000</v>
      </c>
      <c r="AG69" s="36">
        <f t="shared" si="103"/>
        <v>765000000</v>
      </c>
      <c r="AH69" s="36">
        <f t="shared" si="103"/>
        <v>510000000</v>
      </c>
      <c r="AI69" s="36">
        <f t="shared" si="103"/>
        <v>2550000000</v>
      </c>
      <c r="AJ69" s="37">
        <f t="shared" si="103"/>
        <v>7690</v>
      </c>
      <c r="AK69" s="37">
        <f t="shared" si="103"/>
        <v>64</v>
      </c>
      <c r="AL69" s="13">
        <f t="shared" si="17"/>
        <v>190</v>
      </c>
      <c r="AM69" s="13">
        <f t="shared" si="18"/>
        <v>140</v>
      </c>
      <c r="AN69" s="13">
        <f>P69-'[14]THÁNG 7'!L67</f>
        <v>0</v>
      </c>
      <c r="AO69" s="7"/>
      <c r="AP69" s="7"/>
      <c r="AQ69" s="7"/>
      <c r="AR69" s="7"/>
      <c r="AS69" s="7"/>
      <c r="AT69" s="7"/>
      <c r="AU69" s="7"/>
      <c r="AV69" s="7"/>
      <c r="AW69" s="7"/>
      <c r="AX69" s="7"/>
    </row>
    <row r="70" spans="1:50" ht="14.25" customHeight="1" x14ac:dyDescent="0.15">
      <c r="A70" s="24">
        <v>1</v>
      </c>
      <c r="B70" s="41" t="s">
        <v>212</v>
      </c>
      <c r="C70" s="41" t="s">
        <v>213</v>
      </c>
      <c r="D70" s="41" t="s">
        <v>214</v>
      </c>
      <c r="E70" s="41" t="s">
        <v>215</v>
      </c>
      <c r="F70" s="26">
        <f>SUMIF('[14]DS đạt từ T1-4'!$D:$D,'Quý 3,2025'!$C70,'[14]DS đạt từ T1-4'!$AI:$AI)</f>
        <v>117174714.28571428</v>
      </c>
      <c r="G70" s="26">
        <f>SUMIF('[14]DS đạt từ T1-4'!$D:$D,'Quý 3,2025'!$C70,'[14]DS đạt từ T1-4'!$AN:$AN)</f>
        <v>82030238.09523809</v>
      </c>
      <c r="H70" s="26">
        <f>SUMIF([14]T5!D:D,'Quý 3,2025'!C70,[14]T5!AF:AF)</f>
        <v>99258142.857142851</v>
      </c>
      <c r="I70" s="27">
        <f t="shared" si="16"/>
        <v>99487698.412698403</v>
      </c>
      <c r="J70" s="12">
        <f t="shared" ref="J70:J77" si="104">J$9*N70</f>
        <v>8500000</v>
      </c>
      <c r="K70" s="12">
        <f t="shared" ref="K70:K77" si="105">K$9*N70</f>
        <v>34000000</v>
      </c>
      <c r="L70" s="12">
        <f t="shared" ref="L70:L77" si="106">L$9*N70</f>
        <v>25500000</v>
      </c>
      <c r="M70" s="12">
        <f t="shared" ref="M70:M77" si="107">M$9*N70</f>
        <v>17000000</v>
      </c>
      <c r="N70" s="28">
        <v>85000000</v>
      </c>
      <c r="O70" s="52">
        <v>370</v>
      </c>
      <c r="P70" s="53">
        <v>3</v>
      </c>
      <c r="Q70" s="12">
        <f t="shared" ref="Q70:Q77" si="108">Q$9*U70</f>
        <v>9000000</v>
      </c>
      <c r="R70" s="12">
        <f t="shared" ref="R70:R77" si="109">R$9*U70</f>
        <v>36000000</v>
      </c>
      <c r="S70" s="12">
        <f t="shared" ref="S70:S77" si="110">S$9*U70</f>
        <v>27000000</v>
      </c>
      <c r="T70" s="12">
        <f t="shared" ref="T70:T77" si="111">T$9*U70</f>
        <v>18000000</v>
      </c>
      <c r="U70" s="31">
        <v>90000000</v>
      </c>
      <c r="V70" s="52">
        <v>375</v>
      </c>
      <c r="W70" s="53">
        <v>3</v>
      </c>
      <c r="X70" s="32">
        <f t="shared" ref="X70:X77" si="112">X$9*AB70</f>
        <v>9000000</v>
      </c>
      <c r="Y70" s="32">
        <f t="shared" ref="Y70:Y77" si="113">Y$9*AB70</f>
        <v>36000000</v>
      </c>
      <c r="Z70" s="32">
        <f t="shared" ref="Z70:Z77" si="114">Z$9*AB70</f>
        <v>27000000</v>
      </c>
      <c r="AA70" s="32">
        <f t="shared" ref="AA70:AA77" si="115">AA$9*AB70</f>
        <v>18000000</v>
      </c>
      <c r="AB70" s="31">
        <v>90000000</v>
      </c>
      <c r="AC70" s="52">
        <v>400</v>
      </c>
      <c r="AD70" s="53">
        <v>2</v>
      </c>
      <c r="AE70" s="12">
        <f t="shared" ref="AE70:AI77" si="116">SUMIF($J$12:$AB$12,AE$12,$J70:$AB70)</f>
        <v>26500000</v>
      </c>
      <c r="AF70" s="12">
        <f t="shared" si="116"/>
        <v>106000000</v>
      </c>
      <c r="AG70" s="12">
        <f t="shared" si="116"/>
        <v>79500000</v>
      </c>
      <c r="AH70" s="12">
        <f t="shared" si="116"/>
        <v>53000000</v>
      </c>
      <c r="AI70" s="12">
        <f t="shared" si="116"/>
        <v>265000000</v>
      </c>
      <c r="AJ70" s="12">
        <f t="shared" ref="AJ70:AK77" si="117">SUMIF($J$11:$AD$11,AJ$11,$J70:$AD70)</f>
        <v>1145</v>
      </c>
      <c r="AK70" s="12">
        <f t="shared" si="117"/>
        <v>8</v>
      </c>
      <c r="AL70" s="13">
        <f t="shared" si="17"/>
        <v>5</v>
      </c>
      <c r="AM70" s="13">
        <f t="shared" si="18"/>
        <v>25</v>
      </c>
      <c r="AN70" s="13">
        <f>P70-'[14]THÁNG 7'!L68</f>
        <v>0</v>
      </c>
    </row>
    <row r="71" spans="1:50" ht="14.25" customHeight="1" x14ac:dyDescent="0.15">
      <c r="A71" s="24">
        <v>2</v>
      </c>
      <c r="B71" s="41" t="s">
        <v>216</v>
      </c>
      <c r="C71" s="41" t="s">
        <v>217</v>
      </c>
      <c r="D71" s="41" t="s">
        <v>218</v>
      </c>
      <c r="E71" s="41" t="s">
        <v>219</v>
      </c>
      <c r="F71" s="26">
        <f>SUMIF('[14]DS đạt từ T1-4'!$D:$D,'Quý 3,2025'!$C71,'[14]DS đạt từ T1-4'!$AI:$AI)</f>
        <v>117949428.57142857</v>
      </c>
      <c r="G71" s="26">
        <f>SUMIF('[14]DS đạt từ T1-4'!$D:$D,'Quý 3,2025'!$C71,'[14]DS đạt từ T1-4'!$AN:$AN)</f>
        <v>44670714.285714284</v>
      </c>
      <c r="H71" s="26">
        <f>SUMIF([14]T5!D:D,'Quý 3,2025'!C71,[14]T5!AF:AF)</f>
        <v>81386571.428571433</v>
      </c>
      <c r="I71" s="27">
        <f t="shared" si="16"/>
        <v>81335571.428571433</v>
      </c>
      <c r="J71" s="12">
        <f t="shared" si="104"/>
        <v>8000000</v>
      </c>
      <c r="K71" s="12">
        <f t="shared" si="105"/>
        <v>32000000</v>
      </c>
      <c r="L71" s="12">
        <f t="shared" si="106"/>
        <v>24000000</v>
      </c>
      <c r="M71" s="12">
        <f t="shared" si="107"/>
        <v>16000000</v>
      </c>
      <c r="N71" s="28">
        <v>80000000</v>
      </c>
      <c r="O71" s="52">
        <v>370</v>
      </c>
      <c r="P71" s="53">
        <v>3</v>
      </c>
      <c r="Q71" s="12">
        <f t="shared" si="108"/>
        <v>8500000</v>
      </c>
      <c r="R71" s="12">
        <f t="shared" si="109"/>
        <v>34000000</v>
      </c>
      <c r="S71" s="12">
        <f t="shared" si="110"/>
        <v>25500000</v>
      </c>
      <c r="T71" s="12">
        <f t="shared" si="111"/>
        <v>17000000</v>
      </c>
      <c r="U71" s="31">
        <v>85000000</v>
      </c>
      <c r="V71" s="52">
        <v>375</v>
      </c>
      <c r="W71" s="53">
        <v>3</v>
      </c>
      <c r="X71" s="32">
        <f t="shared" si="112"/>
        <v>8500000</v>
      </c>
      <c r="Y71" s="32">
        <f t="shared" si="113"/>
        <v>34000000</v>
      </c>
      <c r="Z71" s="32">
        <f t="shared" si="114"/>
        <v>25500000</v>
      </c>
      <c r="AA71" s="32">
        <f t="shared" si="115"/>
        <v>17000000</v>
      </c>
      <c r="AB71" s="31">
        <v>85000000</v>
      </c>
      <c r="AC71" s="52">
        <v>400</v>
      </c>
      <c r="AD71" s="53">
        <v>2</v>
      </c>
      <c r="AE71" s="12">
        <f t="shared" si="116"/>
        <v>25000000</v>
      </c>
      <c r="AF71" s="12">
        <f t="shared" si="116"/>
        <v>100000000</v>
      </c>
      <c r="AG71" s="12">
        <f t="shared" si="116"/>
        <v>75000000</v>
      </c>
      <c r="AH71" s="12">
        <f t="shared" si="116"/>
        <v>50000000</v>
      </c>
      <c r="AI71" s="12">
        <f t="shared" si="116"/>
        <v>250000000</v>
      </c>
      <c r="AJ71" s="12">
        <f t="shared" si="117"/>
        <v>1145</v>
      </c>
      <c r="AK71" s="12">
        <f t="shared" si="117"/>
        <v>8</v>
      </c>
      <c r="AL71" s="13">
        <f t="shared" si="17"/>
        <v>5</v>
      </c>
      <c r="AM71" s="13">
        <f t="shared" si="18"/>
        <v>25</v>
      </c>
      <c r="AN71" s="13">
        <f>P71-'[14]THÁNG 7'!L69</f>
        <v>0</v>
      </c>
    </row>
    <row r="72" spans="1:50" ht="14.25" customHeight="1" x14ac:dyDescent="0.15">
      <c r="A72" s="24">
        <v>3</v>
      </c>
      <c r="B72" s="41" t="s">
        <v>220</v>
      </c>
      <c r="C72" s="41" t="s">
        <v>221</v>
      </c>
      <c r="D72" s="41" t="s">
        <v>222</v>
      </c>
      <c r="E72" s="41" t="s">
        <v>223</v>
      </c>
      <c r="F72" s="26">
        <f>SUMIF('[14]DS đạt từ T1-4'!$D:$D,'Quý 3,2025'!$C72,'[14]DS đạt từ T1-4'!$AI:$AI)</f>
        <v>117180904.76190476</v>
      </c>
      <c r="G72" s="26">
        <f>SUMIF('[14]DS đạt từ T1-4'!$D:$D,'Quý 3,2025'!$C72,'[14]DS đạt từ T1-4'!$AN:$AN)</f>
        <v>96748428.571428567</v>
      </c>
      <c r="H72" s="26">
        <f>SUMIF([14]T5!D:D,'Quý 3,2025'!C72,[14]T5!AF:AF)</f>
        <v>153668761.90476191</v>
      </c>
      <c r="I72" s="27">
        <f t="shared" si="16"/>
        <v>122532698.4126984</v>
      </c>
      <c r="J72" s="12">
        <f t="shared" si="104"/>
        <v>8500000</v>
      </c>
      <c r="K72" s="12">
        <f t="shared" si="105"/>
        <v>34000000</v>
      </c>
      <c r="L72" s="12">
        <f t="shared" si="106"/>
        <v>25500000</v>
      </c>
      <c r="M72" s="12">
        <f t="shared" si="107"/>
        <v>17000000</v>
      </c>
      <c r="N72" s="28">
        <v>85000000</v>
      </c>
      <c r="O72" s="52">
        <v>370</v>
      </c>
      <c r="P72" s="53">
        <v>4</v>
      </c>
      <c r="Q72" s="12">
        <f t="shared" si="108"/>
        <v>9000000</v>
      </c>
      <c r="R72" s="12">
        <f t="shared" si="109"/>
        <v>36000000</v>
      </c>
      <c r="S72" s="12">
        <f t="shared" si="110"/>
        <v>27000000</v>
      </c>
      <c r="T72" s="12">
        <f t="shared" si="111"/>
        <v>18000000</v>
      </c>
      <c r="U72" s="31">
        <v>90000000</v>
      </c>
      <c r="V72" s="52">
        <v>370</v>
      </c>
      <c r="W72" s="53">
        <v>3</v>
      </c>
      <c r="X72" s="32">
        <f t="shared" si="112"/>
        <v>9000000</v>
      </c>
      <c r="Y72" s="32">
        <f t="shared" si="113"/>
        <v>36000000</v>
      </c>
      <c r="Z72" s="32">
        <f t="shared" si="114"/>
        <v>27000000</v>
      </c>
      <c r="AA72" s="32">
        <f t="shared" si="115"/>
        <v>18000000</v>
      </c>
      <c r="AB72" s="31">
        <v>90000000</v>
      </c>
      <c r="AC72" s="52">
        <v>400</v>
      </c>
      <c r="AD72" s="53">
        <v>2</v>
      </c>
      <c r="AE72" s="12">
        <f t="shared" si="116"/>
        <v>26500000</v>
      </c>
      <c r="AF72" s="12">
        <f t="shared" si="116"/>
        <v>106000000</v>
      </c>
      <c r="AG72" s="12">
        <f t="shared" si="116"/>
        <v>79500000</v>
      </c>
      <c r="AH72" s="12">
        <f t="shared" si="116"/>
        <v>53000000</v>
      </c>
      <c r="AI72" s="12">
        <f t="shared" si="116"/>
        <v>265000000</v>
      </c>
      <c r="AJ72" s="12">
        <f t="shared" si="117"/>
        <v>1140</v>
      </c>
      <c r="AK72" s="12">
        <f t="shared" si="117"/>
        <v>9</v>
      </c>
      <c r="AL72" s="13">
        <f t="shared" si="17"/>
        <v>0</v>
      </c>
      <c r="AM72" s="13">
        <f t="shared" si="18"/>
        <v>30</v>
      </c>
      <c r="AN72" s="13">
        <f>P72-'[14]THÁNG 7'!L70</f>
        <v>0</v>
      </c>
    </row>
    <row r="73" spans="1:50" ht="14.25" customHeight="1" x14ac:dyDescent="0.15">
      <c r="A73" s="24">
        <v>4</v>
      </c>
      <c r="B73" s="41" t="s">
        <v>224</v>
      </c>
      <c r="C73" s="41" t="s">
        <v>225</v>
      </c>
      <c r="D73" s="41" t="s">
        <v>226</v>
      </c>
      <c r="E73" s="41" t="s">
        <v>227</v>
      </c>
      <c r="F73" s="26">
        <f>SUMIF('[14]DS đạt từ T1-4'!$D:$D,'Quý 3,2025'!$C73,'[14]DS đạt từ T1-4'!$AI:$AI)</f>
        <v>53222714.285714284</v>
      </c>
      <c r="G73" s="26">
        <f>SUMIF('[14]DS đạt từ T1-4'!$D:$D,'Quý 3,2025'!$C73,'[14]DS đạt từ T1-4'!$AN:$AN)</f>
        <v>56166142.857142858</v>
      </c>
      <c r="H73" s="26">
        <f>SUMIF([14]T5!D:D,'Quý 3,2025'!C73,[14]T5!AF:AF)</f>
        <v>63787809.523809522</v>
      </c>
      <c r="I73" s="27">
        <f t="shared" si="16"/>
        <v>57725555.555555552</v>
      </c>
      <c r="J73" s="12">
        <f t="shared" si="104"/>
        <v>6500000</v>
      </c>
      <c r="K73" s="12">
        <f t="shared" si="105"/>
        <v>26000000</v>
      </c>
      <c r="L73" s="12">
        <f t="shared" si="106"/>
        <v>19500000</v>
      </c>
      <c r="M73" s="12">
        <f t="shared" si="107"/>
        <v>13000000</v>
      </c>
      <c r="N73" s="28">
        <v>65000000</v>
      </c>
      <c r="O73" s="52">
        <v>170</v>
      </c>
      <c r="P73" s="53">
        <v>3</v>
      </c>
      <c r="Q73" s="12">
        <f t="shared" si="108"/>
        <v>7000000</v>
      </c>
      <c r="R73" s="12">
        <f t="shared" si="109"/>
        <v>28000000</v>
      </c>
      <c r="S73" s="12">
        <f t="shared" si="110"/>
        <v>21000000</v>
      </c>
      <c r="T73" s="12">
        <f t="shared" si="111"/>
        <v>14000000</v>
      </c>
      <c r="U73" s="31">
        <v>70000000</v>
      </c>
      <c r="V73" s="52">
        <v>190</v>
      </c>
      <c r="W73" s="53">
        <v>3</v>
      </c>
      <c r="X73" s="32">
        <f t="shared" si="112"/>
        <v>7000000</v>
      </c>
      <c r="Y73" s="32">
        <f t="shared" si="113"/>
        <v>28000000</v>
      </c>
      <c r="Z73" s="32">
        <f t="shared" si="114"/>
        <v>21000000</v>
      </c>
      <c r="AA73" s="32">
        <f t="shared" si="115"/>
        <v>14000000</v>
      </c>
      <c r="AB73" s="31">
        <v>70000000</v>
      </c>
      <c r="AC73" s="52">
        <v>210</v>
      </c>
      <c r="AD73" s="53">
        <v>3</v>
      </c>
      <c r="AE73" s="12">
        <f t="shared" si="116"/>
        <v>20500000</v>
      </c>
      <c r="AF73" s="12">
        <f t="shared" si="116"/>
        <v>82000000</v>
      </c>
      <c r="AG73" s="12">
        <f t="shared" si="116"/>
        <v>61500000</v>
      </c>
      <c r="AH73" s="12">
        <f t="shared" si="116"/>
        <v>41000000</v>
      </c>
      <c r="AI73" s="12">
        <f t="shared" si="116"/>
        <v>205000000</v>
      </c>
      <c r="AJ73" s="12">
        <f t="shared" si="117"/>
        <v>570</v>
      </c>
      <c r="AK73" s="12">
        <f t="shared" si="117"/>
        <v>9</v>
      </c>
      <c r="AL73" s="13">
        <f t="shared" si="17"/>
        <v>20</v>
      </c>
      <c r="AM73" s="13">
        <f t="shared" si="18"/>
        <v>20</v>
      </c>
      <c r="AN73" s="13">
        <f>P73-'[14]THÁNG 7'!L71</f>
        <v>0</v>
      </c>
    </row>
    <row r="74" spans="1:50" ht="14.25" customHeight="1" x14ac:dyDescent="0.15">
      <c r="A74" s="24">
        <v>5</v>
      </c>
      <c r="B74" s="41" t="s">
        <v>228</v>
      </c>
      <c r="C74" s="41" t="s">
        <v>229</v>
      </c>
      <c r="D74" s="41" t="s">
        <v>115</v>
      </c>
      <c r="E74" s="41" t="s">
        <v>230</v>
      </c>
      <c r="F74" s="26">
        <f>SUMIF('[14]DS đạt từ T1-4'!$D:$D,'Quý 3,2025'!$C74,'[14]DS đạt từ T1-4'!$AI:$AI)</f>
        <v>60700000</v>
      </c>
      <c r="G74" s="26">
        <f>SUMIF('[14]DS đạt từ T1-4'!$D:$D,'Quý 3,2025'!$C74,'[14]DS đạt từ T1-4'!$AN:$AN)</f>
        <v>51120000</v>
      </c>
      <c r="H74" s="26">
        <f>SUMIF([14]T5!D:D,'Quý 3,2025'!C74,[14]T5!AF:AF)</f>
        <v>42705000</v>
      </c>
      <c r="I74" s="27">
        <f t="shared" si="16"/>
        <v>51508333.333333336</v>
      </c>
      <c r="J74" s="12">
        <f t="shared" si="104"/>
        <v>6000000</v>
      </c>
      <c r="K74" s="12">
        <f t="shared" si="105"/>
        <v>24000000</v>
      </c>
      <c r="L74" s="12">
        <f t="shared" si="106"/>
        <v>18000000</v>
      </c>
      <c r="M74" s="12">
        <f t="shared" si="107"/>
        <v>12000000</v>
      </c>
      <c r="N74" s="28">
        <v>60000000</v>
      </c>
      <c r="O74" s="52">
        <v>370</v>
      </c>
      <c r="P74" s="53">
        <v>1</v>
      </c>
      <c r="Q74" s="12">
        <f t="shared" si="108"/>
        <v>6500000</v>
      </c>
      <c r="R74" s="12">
        <f t="shared" si="109"/>
        <v>26000000</v>
      </c>
      <c r="S74" s="12">
        <f t="shared" si="110"/>
        <v>19500000</v>
      </c>
      <c r="T74" s="12">
        <f t="shared" si="111"/>
        <v>13000000</v>
      </c>
      <c r="U74" s="31">
        <v>65000000</v>
      </c>
      <c r="V74" s="52">
        <v>370</v>
      </c>
      <c r="W74" s="53">
        <v>1</v>
      </c>
      <c r="X74" s="32">
        <f t="shared" si="112"/>
        <v>6500000</v>
      </c>
      <c r="Y74" s="32">
        <f t="shared" si="113"/>
        <v>26000000</v>
      </c>
      <c r="Z74" s="32">
        <f t="shared" si="114"/>
        <v>19500000</v>
      </c>
      <c r="AA74" s="32">
        <f t="shared" si="115"/>
        <v>13000000</v>
      </c>
      <c r="AB74" s="31">
        <v>65000000</v>
      </c>
      <c r="AC74" s="52">
        <v>390</v>
      </c>
      <c r="AD74" s="53">
        <v>1</v>
      </c>
      <c r="AE74" s="12">
        <f t="shared" si="116"/>
        <v>19000000</v>
      </c>
      <c r="AF74" s="12">
        <f t="shared" si="116"/>
        <v>76000000</v>
      </c>
      <c r="AG74" s="12">
        <f t="shared" si="116"/>
        <v>57000000</v>
      </c>
      <c r="AH74" s="12">
        <f t="shared" si="116"/>
        <v>38000000</v>
      </c>
      <c r="AI74" s="12">
        <f t="shared" si="116"/>
        <v>190000000</v>
      </c>
      <c r="AJ74" s="12">
        <f t="shared" si="117"/>
        <v>1130</v>
      </c>
      <c r="AK74" s="12">
        <f t="shared" si="117"/>
        <v>3</v>
      </c>
      <c r="AL74" s="13">
        <f t="shared" si="17"/>
        <v>0</v>
      </c>
      <c r="AM74" s="13">
        <f t="shared" si="18"/>
        <v>20</v>
      </c>
      <c r="AN74" s="13">
        <f>P74-'[14]THÁNG 7'!L72</f>
        <v>0</v>
      </c>
    </row>
    <row r="75" spans="1:50" ht="14.25" customHeight="1" x14ac:dyDescent="0.15">
      <c r="A75" s="24">
        <v>6</v>
      </c>
      <c r="B75" s="41" t="s">
        <v>231</v>
      </c>
      <c r="C75" s="41" t="s">
        <v>232</v>
      </c>
      <c r="D75" s="41" t="s">
        <v>115</v>
      </c>
      <c r="E75" s="41" t="s">
        <v>233</v>
      </c>
      <c r="F75" s="26">
        <f>SUMIF('[14]DS đạt từ T1-4'!$D:$D,'Quý 3,2025'!$C75,'[14]DS đạt từ T1-4'!$AI:$AI)</f>
        <v>16446428.571428571</v>
      </c>
      <c r="G75" s="26">
        <f>SUMIF('[14]DS đạt từ T1-4'!$D:$D,'Quý 3,2025'!$C75,'[14]DS đạt từ T1-4'!$AN:$AN)</f>
        <v>5500000</v>
      </c>
      <c r="H75" s="26">
        <f>SUMIF([14]T5!D:D,'Quý 3,2025'!C75,[14]T5!AF:AF)</f>
        <v>0</v>
      </c>
      <c r="I75" s="27">
        <f t="shared" si="16"/>
        <v>7315476.1904761903</v>
      </c>
      <c r="J75" s="12">
        <f t="shared" si="104"/>
        <v>6000000</v>
      </c>
      <c r="K75" s="12">
        <f t="shared" si="105"/>
        <v>24000000</v>
      </c>
      <c r="L75" s="12">
        <f t="shared" si="106"/>
        <v>18000000</v>
      </c>
      <c r="M75" s="12">
        <f t="shared" si="107"/>
        <v>12000000</v>
      </c>
      <c r="N75" s="28">
        <v>60000000</v>
      </c>
      <c r="O75" s="52">
        <v>170</v>
      </c>
      <c r="P75" s="53">
        <v>1</v>
      </c>
      <c r="Q75" s="12">
        <f t="shared" si="108"/>
        <v>6000000</v>
      </c>
      <c r="R75" s="12">
        <f t="shared" si="109"/>
        <v>24000000</v>
      </c>
      <c r="S75" s="12">
        <f t="shared" si="110"/>
        <v>18000000</v>
      </c>
      <c r="T75" s="12">
        <f t="shared" si="111"/>
        <v>12000000</v>
      </c>
      <c r="U75" s="31">
        <v>60000000</v>
      </c>
      <c r="V75" s="52">
        <v>170</v>
      </c>
      <c r="W75" s="53">
        <v>1</v>
      </c>
      <c r="X75" s="32">
        <f t="shared" si="112"/>
        <v>6500000</v>
      </c>
      <c r="Y75" s="32">
        <f t="shared" si="113"/>
        <v>26000000</v>
      </c>
      <c r="Z75" s="32">
        <f t="shared" si="114"/>
        <v>19500000</v>
      </c>
      <c r="AA75" s="32">
        <f t="shared" si="115"/>
        <v>13000000</v>
      </c>
      <c r="AB75" s="31">
        <v>65000000</v>
      </c>
      <c r="AC75" s="52">
        <v>190</v>
      </c>
      <c r="AD75" s="53">
        <v>1</v>
      </c>
      <c r="AE75" s="12">
        <f t="shared" si="116"/>
        <v>18500000</v>
      </c>
      <c r="AF75" s="12">
        <f t="shared" si="116"/>
        <v>74000000</v>
      </c>
      <c r="AG75" s="12">
        <f t="shared" si="116"/>
        <v>55500000</v>
      </c>
      <c r="AH75" s="12">
        <f t="shared" si="116"/>
        <v>37000000</v>
      </c>
      <c r="AI75" s="12">
        <f t="shared" si="116"/>
        <v>185000000</v>
      </c>
      <c r="AJ75" s="12">
        <f t="shared" si="117"/>
        <v>530</v>
      </c>
      <c r="AK75" s="12">
        <f t="shared" si="117"/>
        <v>3</v>
      </c>
      <c r="AL75" s="13">
        <f t="shared" si="17"/>
        <v>0</v>
      </c>
      <c r="AM75" s="13">
        <f t="shared" si="18"/>
        <v>20</v>
      </c>
      <c r="AN75" s="13">
        <f>P75-'[14]THÁNG 7'!L73</f>
        <v>0</v>
      </c>
    </row>
    <row r="76" spans="1:50" ht="14.25" customHeight="1" x14ac:dyDescent="0.15">
      <c r="A76" s="24">
        <v>7</v>
      </c>
      <c r="B76" s="41" t="s">
        <v>234</v>
      </c>
      <c r="C76" s="41" t="s">
        <v>235</v>
      </c>
      <c r="D76" s="41" t="s">
        <v>115</v>
      </c>
      <c r="E76" s="41" t="s">
        <v>236</v>
      </c>
      <c r="F76" s="26">
        <f>SUMIF('[14]DS đạt từ T1-4'!$D:$D,'Quý 3,2025'!$C76,'[14]DS đạt từ T1-4'!$AI:$AI)</f>
        <v>49952428.571428567</v>
      </c>
      <c r="G76" s="26">
        <f>SUMIF('[14]DS đạt từ T1-4'!$D:$D,'Quý 3,2025'!$C76,'[14]DS đạt từ T1-4'!$AN:$AN)</f>
        <v>20397428.571428571</v>
      </c>
      <c r="H76" s="26">
        <f>SUMIF([14]T5!D:D,'Quý 3,2025'!C76,[14]T5!AF:AF)</f>
        <v>35403285.714285716</v>
      </c>
      <c r="I76" s="27">
        <f t="shared" si="16"/>
        <v>35251047.619047619</v>
      </c>
      <c r="J76" s="12">
        <f t="shared" si="104"/>
        <v>6000000</v>
      </c>
      <c r="K76" s="12">
        <f t="shared" si="105"/>
        <v>24000000</v>
      </c>
      <c r="L76" s="12">
        <f t="shared" si="106"/>
        <v>18000000</v>
      </c>
      <c r="M76" s="12">
        <f t="shared" si="107"/>
        <v>12000000</v>
      </c>
      <c r="N76" s="28">
        <v>60000000</v>
      </c>
      <c r="O76" s="52">
        <v>200</v>
      </c>
      <c r="P76" s="53">
        <v>4</v>
      </c>
      <c r="Q76" s="12">
        <f t="shared" si="108"/>
        <v>6000000</v>
      </c>
      <c r="R76" s="12">
        <f t="shared" si="109"/>
        <v>24000000</v>
      </c>
      <c r="S76" s="12">
        <f t="shared" si="110"/>
        <v>18000000</v>
      </c>
      <c r="T76" s="12">
        <f t="shared" si="111"/>
        <v>12000000</v>
      </c>
      <c r="U76" s="31">
        <v>60000000</v>
      </c>
      <c r="V76" s="52">
        <v>200</v>
      </c>
      <c r="W76" s="53">
        <v>4</v>
      </c>
      <c r="X76" s="32">
        <f t="shared" si="112"/>
        <v>6000000</v>
      </c>
      <c r="Y76" s="32">
        <f t="shared" si="113"/>
        <v>24000000</v>
      </c>
      <c r="Z76" s="32">
        <f t="shared" si="114"/>
        <v>18000000</v>
      </c>
      <c r="AA76" s="32">
        <f t="shared" si="115"/>
        <v>12000000</v>
      </c>
      <c r="AB76" s="31">
        <v>60000000</v>
      </c>
      <c r="AC76" s="52">
        <v>200</v>
      </c>
      <c r="AD76" s="53">
        <v>4</v>
      </c>
      <c r="AE76" s="12">
        <f t="shared" si="116"/>
        <v>18000000</v>
      </c>
      <c r="AF76" s="12">
        <f t="shared" si="116"/>
        <v>72000000</v>
      </c>
      <c r="AG76" s="12">
        <f t="shared" si="116"/>
        <v>54000000</v>
      </c>
      <c r="AH76" s="12">
        <f t="shared" si="116"/>
        <v>36000000</v>
      </c>
      <c r="AI76" s="12">
        <f t="shared" si="116"/>
        <v>180000000</v>
      </c>
      <c r="AJ76" s="12">
        <f t="shared" si="117"/>
        <v>600</v>
      </c>
      <c r="AK76" s="12">
        <f t="shared" si="117"/>
        <v>12</v>
      </c>
      <c r="AL76" s="13">
        <f t="shared" si="17"/>
        <v>0</v>
      </c>
      <c r="AM76" s="13">
        <f t="shared" si="18"/>
        <v>0</v>
      </c>
      <c r="AN76" s="13">
        <f>P76-'[14]THÁNG 7'!L74</f>
        <v>0</v>
      </c>
    </row>
    <row r="77" spans="1:50" ht="14.25" customHeight="1" x14ac:dyDescent="0.15">
      <c r="A77" s="24">
        <v>8</v>
      </c>
      <c r="B77" s="41" t="s">
        <v>237</v>
      </c>
      <c r="C77" s="41" t="s">
        <v>238</v>
      </c>
      <c r="D77" s="41" t="s">
        <v>115</v>
      </c>
      <c r="E77" s="41" t="s">
        <v>239</v>
      </c>
      <c r="F77" s="26">
        <f>SUMIF('[14]DS đạt từ T1-4'!$D:$D,'Quý 3,2025'!$C77,'[14]DS đạt từ T1-4'!$AI:$AI)</f>
        <v>3351428.5714285714</v>
      </c>
      <c r="G77" s="26">
        <f>SUMIF('[14]DS đạt từ T1-4'!$D:$D,'Quý 3,2025'!$C77,'[14]DS đạt từ T1-4'!$AN:$AN)</f>
        <v>2578571.4285714282</v>
      </c>
      <c r="H77" s="26">
        <f>SUMIF([14]T5!D:D,'Quý 3,2025'!C77,[14]T5!AF:AF)</f>
        <v>116666.66666666698</v>
      </c>
      <c r="I77" s="27">
        <f t="shared" si="16"/>
        <v>2015555.5555555557</v>
      </c>
      <c r="J77" s="12">
        <f t="shared" si="104"/>
        <v>4000000</v>
      </c>
      <c r="K77" s="12">
        <f t="shared" si="105"/>
        <v>16000000</v>
      </c>
      <c r="L77" s="12">
        <f t="shared" si="106"/>
        <v>12000000</v>
      </c>
      <c r="M77" s="12">
        <f t="shared" si="107"/>
        <v>8000000</v>
      </c>
      <c r="N77" s="28">
        <v>40000000</v>
      </c>
      <c r="O77" s="52">
        <v>155</v>
      </c>
      <c r="P77" s="53">
        <v>5</v>
      </c>
      <c r="Q77" s="12">
        <f t="shared" si="108"/>
        <v>4500000</v>
      </c>
      <c r="R77" s="12">
        <f t="shared" si="109"/>
        <v>18000000</v>
      </c>
      <c r="S77" s="12">
        <f t="shared" si="110"/>
        <v>13500000</v>
      </c>
      <c r="T77" s="12">
        <f t="shared" si="111"/>
        <v>9000000</v>
      </c>
      <c r="U77" s="31">
        <v>45000000</v>
      </c>
      <c r="V77" s="52">
        <v>155</v>
      </c>
      <c r="W77" s="53">
        <v>3</v>
      </c>
      <c r="X77" s="32">
        <f t="shared" si="112"/>
        <v>4500000</v>
      </c>
      <c r="Y77" s="32">
        <f t="shared" si="113"/>
        <v>18000000</v>
      </c>
      <c r="Z77" s="32">
        <f t="shared" si="114"/>
        <v>13500000</v>
      </c>
      <c r="AA77" s="32">
        <f t="shared" si="115"/>
        <v>9000000</v>
      </c>
      <c r="AB77" s="31">
        <v>45000000</v>
      </c>
      <c r="AC77" s="52">
        <v>190</v>
      </c>
      <c r="AD77" s="53">
        <v>3</v>
      </c>
      <c r="AE77" s="12">
        <f t="shared" si="116"/>
        <v>13000000</v>
      </c>
      <c r="AF77" s="12">
        <f t="shared" si="116"/>
        <v>52000000</v>
      </c>
      <c r="AG77" s="12">
        <f t="shared" si="116"/>
        <v>39000000</v>
      </c>
      <c r="AH77" s="12">
        <f t="shared" si="116"/>
        <v>26000000</v>
      </c>
      <c r="AI77" s="12">
        <f t="shared" si="116"/>
        <v>130000000</v>
      </c>
      <c r="AJ77" s="12">
        <f t="shared" si="117"/>
        <v>500</v>
      </c>
      <c r="AK77" s="12">
        <f t="shared" si="117"/>
        <v>11</v>
      </c>
      <c r="AL77" s="13">
        <f t="shared" si="17"/>
        <v>0</v>
      </c>
      <c r="AM77" s="13">
        <f t="shared" si="18"/>
        <v>35</v>
      </c>
      <c r="AN77" s="13">
        <f>P77-'[14]THÁNG 7'!L75</f>
        <v>0</v>
      </c>
    </row>
    <row r="78" spans="1:50" s="23" customFormat="1" ht="14.25" customHeight="1" x14ac:dyDescent="0.15">
      <c r="A78" s="34" t="s">
        <v>240</v>
      </c>
      <c r="B78" s="35"/>
      <c r="C78" s="35" t="s">
        <v>241</v>
      </c>
      <c r="D78" s="54"/>
      <c r="E78" s="54"/>
      <c r="F78" s="36">
        <f t="shared" ref="F78:P78" si="118">SUM(F70:F77)</f>
        <v>535978047.6190477</v>
      </c>
      <c r="G78" s="36">
        <f t="shared" si="118"/>
        <v>359211523.80952382</v>
      </c>
      <c r="H78" s="36">
        <f t="shared" si="118"/>
        <v>476326238.09523815</v>
      </c>
      <c r="I78" s="36">
        <f t="shared" si="118"/>
        <v>457171936.50793654</v>
      </c>
      <c r="J78" s="36">
        <f t="shared" si="118"/>
        <v>53500000</v>
      </c>
      <c r="K78" s="36">
        <f t="shared" si="118"/>
        <v>214000000</v>
      </c>
      <c r="L78" s="36">
        <f t="shared" si="118"/>
        <v>160500000</v>
      </c>
      <c r="M78" s="36">
        <f t="shared" si="118"/>
        <v>107000000</v>
      </c>
      <c r="N78" s="37">
        <f t="shared" si="118"/>
        <v>535000000</v>
      </c>
      <c r="O78" s="37">
        <f t="shared" si="118"/>
        <v>2175</v>
      </c>
      <c r="P78" s="37">
        <f t="shared" si="118"/>
        <v>24</v>
      </c>
      <c r="Q78" s="36">
        <f t="shared" ref="Q78:AK78" si="119">SUM(Q70:Q77)</f>
        <v>56500000</v>
      </c>
      <c r="R78" s="36">
        <f t="shared" si="119"/>
        <v>226000000</v>
      </c>
      <c r="S78" s="36">
        <f t="shared" si="119"/>
        <v>169500000</v>
      </c>
      <c r="T78" s="36">
        <f t="shared" si="119"/>
        <v>113000000</v>
      </c>
      <c r="U78" s="37">
        <f t="shared" si="119"/>
        <v>565000000</v>
      </c>
      <c r="V78" s="37">
        <f>SUM(V70:V77)</f>
        <v>2205</v>
      </c>
      <c r="W78" s="37">
        <f>SUM(W70:W77)</f>
        <v>21</v>
      </c>
      <c r="X78" s="36">
        <f t="shared" si="119"/>
        <v>57000000</v>
      </c>
      <c r="Y78" s="36">
        <f t="shared" si="119"/>
        <v>228000000</v>
      </c>
      <c r="Z78" s="36">
        <f t="shared" si="119"/>
        <v>171000000</v>
      </c>
      <c r="AA78" s="36">
        <f t="shared" si="119"/>
        <v>114000000</v>
      </c>
      <c r="AB78" s="37">
        <f t="shared" si="119"/>
        <v>570000000</v>
      </c>
      <c r="AC78" s="37">
        <f t="shared" si="119"/>
        <v>2380</v>
      </c>
      <c r="AD78" s="37">
        <f t="shared" si="119"/>
        <v>18</v>
      </c>
      <c r="AE78" s="36">
        <f t="shared" si="119"/>
        <v>167000000</v>
      </c>
      <c r="AF78" s="36">
        <f t="shared" si="119"/>
        <v>668000000</v>
      </c>
      <c r="AG78" s="36">
        <f t="shared" si="119"/>
        <v>501000000</v>
      </c>
      <c r="AH78" s="36">
        <f t="shared" si="119"/>
        <v>334000000</v>
      </c>
      <c r="AI78" s="36">
        <f t="shared" si="119"/>
        <v>1670000000</v>
      </c>
      <c r="AJ78" s="37">
        <f t="shared" si="119"/>
        <v>6760</v>
      </c>
      <c r="AK78" s="37">
        <f t="shared" si="119"/>
        <v>63</v>
      </c>
      <c r="AL78" s="13">
        <f t="shared" si="17"/>
        <v>30</v>
      </c>
      <c r="AM78" s="13">
        <f t="shared" si="18"/>
        <v>175</v>
      </c>
      <c r="AN78" s="13">
        <f>P78-'[14]THÁNG 7'!L76</f>
        <v>0</v>
      </c>
      <c r="AO78" s="7"/>
      <c r="AP78" s="7"/>
      <c r="AQ78" s="7"/>
      <c r="AR78" s="7"/>
      <c r="AS78" s="7"/>
      <c r="AT78" s="7"/>
      <c r="AU78" s="7"/>
      <c r="AV78" s="7"/>
      <c r="AW78" s="7"/>
      <c r="AX78" s="7"/>
    </row>
    <row r="79" spans="1:50" ht="5.25" customHeight="1" x14ac:dyDescent="0.15">
      <c r="I79" s="27">
        <f t="shared" ref="I79:I88" si="120">SUM(F79:H79)/$I$9</f>
        <v>0</v>
      </c>
      <c r="AL79" s="13">
        <f t="shared" ref="AL79:AL88" si="121">V79-O79</f>
        <v>0</v>
      </c>
      <c r="AM79" s="13">
        <f t="shared" ref="AM79:AM88" si="122">AC79-V79</f>
        <v>0</v>
      </c>
    </row>
    <row r="80" spans="1:50" s="23" customFormat="1" x14ac:dyDescent="0.15">
      <c r="A80" s="34"/>
      <c r="B80" s="34"/>
      <c r="C80" s="20" t="s">
        <v>28</v>
      </c>
      <c r="D80" s="34"/>
      <c r="E80" s="34"/>
      <c r="F80" s="36">
        <f>SUM(F81:F88)</f>
        <v>2499988809.5238094</v>
      </c>
      <c r="G80" s="36">
        <f>SUM(G81:G88)</f>
        <v>1935748142.8571427</v>
      </c>
      <c r="H80" s="36">
        <f>SUM(H81:H88)</f>
        <v>2388883428.5714283</v>
      </c>
      <c r="I80" s="36">
        <f>SUM(I81:I88)</f>
        <v>2274873460.3174605</v>
      </c>
      <c r="J80" s="36">
        <f t="shared" ref="J80:AH80" si="123">SUM(J81:J88)</f>
        <v>353000000</v>
      </c>
      <c r="K80" s="36">
        <f t="shared" si="123"/>
        <v>1412000000</v>
      </c>
      <c r="L80" s="36">
        <f t="shared" si="123"/>
        <v>1059000000</v>
      </c>
      <c r="M80" s="36">
        <f t="shared" si="123"/>
        <v>706000000</v>
      </c>
      <c r="N80" s="36">
        <v>3500000000</v>
      </c>
      <c r="O80" s="36">
        <f>SUM(O81:O88)</f>
        <v>12000</v>
      </c>
      <c r="P80" s="36">
        <f>SUM(P81:P88)</f>
        <v>200</v>
      </c>
      <c r="Q80" s="36">
        <f t="shared" si="123"/>
        <v>368493363.80000001</v>
      </c>
      <c r="R80" s="36">
        <f t="shared" si="123"/>
        <v>1473973455.2</v>
      </c>
      <c r="S80" s="36">
        <f t="shared" si="123"/>
        <v>1105480091.4000001</v>
      </c>
      <c r="T80" s="36">
        <f t="shared" si="123"/>
        <v>736986727.60000002</v>
      </c>
      <c r="U80" s="36">
        <f>N80*105%</f>
        <v>3675000000</v>
      </c>
      <c r="V80" s="36">
        <f>SUM(V81:V88)</f>
        <v>13000</v>
      </c>
      <c r="W80" s="36">
        <f>SUM(W81:W88)</f>
        <v>180</v>
      </c>
      <c r="X80" s="36">
        <f t="shared" si="123"/>
        <v>394000000</v>
      </c>
      <c r="Y80" s="36">
        <f t="shared" si="123"/>
        <v>1576000000</v>
      </c>
      <c r="Z80" s="36">
        <f t="shared" si="123"/>
        <v>1182000000</v>
      </c>
      <c r="AA80" s="36">
        <f t="shared" si="123"/>
        <v>788000000</v>
      </c>
      <c r="AB80" s="36">
        <f>U80*105%</f>
        <v>3858750000</v>
      </c>
      <c r="AC80" s="36">
        <f>SUM(AC81:AC88)</f>
        <v>14000</v>
      </c>
      <c r="AD80" s="36">
        <f>SUM(AD81:AD88)</f>
        <v>150</v>
      </c>
      <c r="AE80" s="36">
        <f t="shared" si="123"/>
        <v>1119500000</v>
      </c>
      <c r="AF80" s="36">
        <f t="shared" si="123"/>
        <v>4478000000</v>
      </c>
      <c r="AG80" s="36">
        <f t="shared" si="123"/>
        <v>3358500000</v>
      </c>
      <c r="AH80" s="36">
        <f t="shared" si="123"/>
        <v>2239000000</v>
      </c>
      <c r="AI80" s="36">
        <f t="shared" ref="AI80:AK88" si="124">AB80+U80+N80</f>
        <v>11033750000</v>
      </c>
      <c r="AJ80" s="36">
        <f t="shared" si="124"/>
        <v>39000</v>
      </c>
      <c r="AK80" s="36">
        <f t="shared" si="124"/>
        <v>530</v>
      </c>
      <c r="AL80" s="13">
        <f t="shared" si="121"/>
        <v>1000</v>
      </c>
      <c r="AM80" s="13">
        <f t="shared" si="122"/>
        <v>1000</v>
      </c>
      <c r="AN80" s="13">
        <f>P80-'[14]THÁNG 7'!L81</f>
        <v>0</v>
      </c>
    </row>
    <row r="81" spans="1:50" x14ac:dyDescent="0.15">
      <c r="A81" s="55" t="s">
        <v>49</v>
      </c>
      <c r="B81" s="56"/>
      <c r="C81" s="56" t="s">
        <v>242</v>
      </c>
      <c r="D81" s="56"/>
      <c r="E81" s="56"/>
      <c r="F81" s="12">
        <f t="shared" ref="F81:H88" si="125">SUMIF($A$14:$A$78,$A81,F$14:F$78)</f>
        <v>241244952.38095236</v>
      </c>
      <c r="G81" s="12">
        <f t="shared" si="125"/>
        <v>172979190.47619045</v>
      </c>
      <c r="H81" s="12">
        <f t="shared" si="125"/>
        <v>251375190.47619045</v>
      </c>
      <c r="I81" s="27">
        <f t="shared" si="120"/>
        <v>221866444.44444442</v>
      </c>
      <c r="J81" s="12">
        <f t="shared" ref="J81:T88" si="126">SUMIF($A$14:$A$78,$A81,J$14:J$78)</f>
        <v>31500000</v>
      </c>
      <c r="K81" s="12">
        <f t="shared" si="126"/>
        <v>126000000</v>
      </c>
      <c r="L81" s="12">
        <f t="shared" si="126"/>
        <v>94500000</v>
      </c>
      <c r="M81" s="12">
        <f t="shared" si="126"/>
        <v>63000000</v>
      </c>
      <c r="N81" s="12">
        <v>382980750</v>
      </c>
      <c r="O81" s="12">
        <f t="shared" si="126"/>
        <v>955</v>
      </c>
      <c r="P81" s="12">
        <f t="shared" si="126"/>
        <v>25</v>
      </c>
      <c r="Q81" s="12">
        <v>29493363.800000001</v>
      </c>
      <c r="R81" s="12">
        <v>117973455.2</v>
      </c>
      <c r="S81" s="12">
        <v>88480091.399999991</v>
      </c>
      <c r="T81" s="12">
        <v>58986727.600000001</v>
      </c>
      <c r="U81" s="12">
        <v>402000000</v>
      </c>
      <c r="V81" s="12">
        <f>SUMIF($A$14:$A$78,$A81,V$14:V$78)</f>
        <v>1105</v>
      </c>
      <c r="W81" s="12">
        <f>SUMIF($A$14:$A$78,$A81,W$14:W$78)</f>
        <v>21</v>
      </c>
      <c r="X81" s="12">
        <f t="shared" ref="X81:AH88" si="127">SUMIF($A$14:$A$78,$A81,X$14:X$78)</f>
        <v>36000000</v>
      </c>
      <c r="Y81" s="12">
        <f t="shared" si="127"/>
        <v>144000000</v>
      </c>
      <c r="Z81" s="12">
        <f t="shared" si="127"/>
        <v>108000000</v>
      </c>
      <c r="AA81" s="12">
        <f t="shared" si="127"/>
        <v>72000000</v>
      </c>
      <c r="AB81" s="12">
        <v>422275000</v>
      </c>
      <c r="AC81" s="12">
        <f t="shared" si="127"/>
        <v>1195</v>
      </c>
      <c r="AD81" s="12">
        <f t="shared" si="127"/>
        <v>16</v>
      </c>
      <c r="AE81" s="12">
        <f t="shared" si="127"/>
        <v>101000000</v>
      </c>
      <c r="AF81" s="12">
        <f t="shared" si="127"/>
        <v>404000000</v>
      </c>
      <c r="AG81" s="12">
        <f t="shared" si="127"/>
        <v>303000000</v>
      </c>
      <c r="AH81" s="12">
        <f t="shared" si="127"/>
        <v>202000000</v>
      </c>
      <c r="AI81" s="12">
        <f t="shared" si="124"/>
        <v>1207255750</v>
      </c>
      <c r="AJ81" s="12">
        <f t="shared" si="124"/>
        <v>3255</v>
      </c>
      <c r="AK81" s="12">
        <f t="shared" si="124"/>
        <v>62</v>
      </c>
      <c r="AL81" s="13">
        <f t="shared" si="121"/>
        <v>150</v>
      </c>
      <c r="AM81" s="13">
        <f t="shared" si="122"/>
        <v>90</v>
      </c>
      <c r="AN81" s="13">
        <f>P81-'[14]THÁNG 7'!L82</f>
        <v>0</v>
      </c>
    </row>
    <row r="82" spans="1:50" x14ac:dyDescent="0.15">
      <c r="A82" s="55" t="s">
        <v>65</v>
      </c>
      <c r="B82" s="56"/>
      <c r="C82" s="56" t="s">
        <v>66</v>
      </c>
      <c r="D82" s="56"/>
      <c r="E82" s="56"/>
      <c r="F82" s="12">
        <f t="shared" si="125"/>
        <v>165687380.95238096</v>
      </c>
      <c r="G82" s="12">
        <f t="shared" si="125"/>
        <v>114800285.71428572</v>
      </c>
      <c r="H82" s="12">
        <f t="shared" si="125"/>
        <v>168001142.85714284</v>
      </c>
      <c r="I82" s="27">
        <f t="shared" si="120"/>
        <v>149496269.84126985</v>
      </c>
      <c r="J82" s="12">
        <f t="shared" si="126"/>
        <v>27000000</v>
      </c>
      <c r="K82" s="12">
        <f t="shared" si="126"/>
        <v>108000000</v>
      </c>
      <c r="L82" s="12">
        <f t="shared" si="126"/>
        <v>81000000</v>
      </c>
      <c r="M82" s="12">
        <f t="shared" si="126"/>
        <v>54000000</v>
      </c>
      <c r="N82" s="12">
        <v>317635500</v>
      </c>
      <c r="O82" s="12">
        <f t="shared" si="126"/>
        <v>720</v>
      </c>
      <c r="P82" s="12">
        <f t="shared" si="126"/>
        <v>16</v>
      </c>
      <c r="Q82" s="12">
        <f t="shared" si="126"/>
        <v>28500000</v>
      </c>
      <c r="R82" s="12">
        <f t="shared" si="126"/>
        <v>114000000</v>
      </c>
      <c r="S82" s="12">
        <f t="shared" si="126"/>
        <v>85500000</v>
      </c>
      <c r="T82" s="12">
        <f t="shared" si="126"/>
        <v>57000000</v>
      </c>
      <c r="U82" s="12">
        <v>333500000</v>
      </c>
      <c r="V82" s="12">
        <f t="shared" ref="V82:W88" si="128">SUMIF($A$14:$A$78,$A82,V$14:V$78)</f>
        <v>840</v>
      </c>
      <c r="W82" s="12">
        <f t="shared" si="128"/>
        <v>16</v>
      </c>
      <c r="X82" s="12">
        <f t="shared" si="127"/>
        <v>30500000</v>
      </c>
      <c r="Y82" s="12">
        <f t="shared" si="127"/>
        <v>122000000</v>
      </c>
      <c r="Z82" s="12">
        <f t="shared" si="127"/>
        <v>91500000</v>
      </c>
      <c r="AA82" s="12">
        <f t="shared" si="127"/>
        <v>61000000</v>
      </c>
      <c r="AB82" s="12">
        <f>U82*105%</f>
        <v>350175000</v>
      </c>
      <c r="AC82" s="12">
        <f t="shared" si="127"/>
        <v>930</v>
      </c>
      <c r="AD82" s="12">
        <f t="shared" si="127"/>
        <v>14</v>
      </c>
      <c r="AE82" s="12">
        <f t="shared" si="127"/>
        <v>86000000</v>
      </c>
      <c r="AF82" s="12">
        <f t="shared" si="127"/>
        <v>344000000</v>
      </c>
      <c r="AG82" s="12">
        <f t="shared" si="127"/>
        <v>258000000</v>
      </c>
      <c r="AH82" s="12">
        <f t="shared" si="127"/>
        <v>172000000</v>
      </c>
      <c r="AI82" s="12">
        <f t="shared" si="124"/>
        <v>1001310500</v>
      </c>
      <c r="AJ82" s="12">
        <f t="shared" si="124"/>
        <v>2490</v>
      </c>
      <c r="AK82" s="12">
        <f t="shared" si="124"/>
        <v>46</v>
      </c>
      <c r="AL82" s="13">
        <f t="shared" si="121"/>
        <v>120</v>
      </c>
      <c r="AM82" s="13">
        <f t="shared" si="122"/>
        <v>90</v>
      </c>
      <c r="AN82" s="13">
        <f>P82-'[14]THÁNG 7'!L83</f>
        <v>0</v>
      </c>
    </row>
    <row r="83" spans="1:50" x14ac:dyDescent="0.15">
      <c r="A83" s="55" t="s">
        <v>95</v>
      </c>
      <c r="B83" s="56"/>
      <c r="C83" s="56" t="s">
        <v>96</v>
      </c>
      <c r="D83" s="56"/>
      <c r="E83" s="56"/>
      <c r="F83" s="12">
        <f t="shared" si="125"/>
        <v>208955142.85714287</v>
      </c>
      <c r="G83" s="12">
        <f t="shared" si="125"/>
        <v>177054238.09523809</v>
      </c>
      <c r="H83" s="12">
        <f t="shared" si="125"/>
        <v>246579714.2857143</v>
      </c>
      <c r="I83" s="27">
        <f t="shared" si="120"/>
        <v>210863031.74603176</v>
      </c>
      <c r="J83" s="12">
        <f t="shared" si="126"/>
        <v>41000000</v>
      </c>
      <c r="K83" s="12">
        <f t="shared" si="126"/>
        <v>164000000</v>
      </c>
      <c r="L83" s="12">
        <f t="shared" si="126"/>
        <v>123000000</v>
      </c>
      <c r="M83" s="12">
        <f t="shared" si="126"/>
        <v>82000000</v>
      </c>
      <c r="N83" s="12">
        <v>310000000</v>
      </c>
      <c r="O83" s="12">
        <f t="shared" si="126"/>
        <v>1620</v>
      </c>
      <c r="P83" s="12">
        <f t="shared" si="126"/>
        <v>32</v>
      </c>
      <c r="Q83" s="12">
        <f t="shared" si="126"/>
        <v>44500000</v>
      </c>
      <c r="R83" s="12">
        <f t="shared" si="126"/>
        <v>178000000</v>
      </c>
      <c r="S83" s="12">
        <f t="shared" si="126"/>
        <v>133500000</v>
      </c>
      <c r="T83" s="12">
        <f t="shared" si="126"/>
        <v>89000000</v>
      </c>
      <c r="U83" s="12">
        <v>350000000</v>
      </c>
      <c r="V83" s="12">
        <f t="shared" si="128"/>
        <v>1760</v>
      </c>
      <c r="W83" s="12">
        <f t="shared" si="128"/>
        <v>29</v>
      </c>
      <c r="X83" s="12">
        <f t="shared" si="127"/>
        <v>46500000</v>
      </c>
      <c r="Y83" s="12">
        <f t="shared" si="127"/>
        <v>186000000</v>
      </c>
      <c r="Z83" s="12">
        <f t="shared" si="127"/>
        <v>139500000</v>
      </c>
      <c r="AA83" s="12">
        <f t="shared" si="127"/>
        <v>93000000</v>
      </c>
      <c r="AB83" s="12">
        <v>375000000</v>
      </c>
      <c r="AC83" s="12">
        <f t="shared" si="127"/>
        <v>1905</v>
      </c>
      <c r="AD83" s="12">
        <f t="shared" si="127"/>
        <v>24</v>
      </c>
      <c r="AE83" s="12">
        <f t="shared" si="127"/>
        <v>132000000</v>
      </c>
      <c r="AF83" s="12">
        <f t="shared" si="127"/>
        <v>528000000</v>
      </c>
      <c r="AG83" s="12">
        <f t="shared" si="127"/>
        <v>396000000</v>
      </c>
      <c r="AH83" s="12">
        <f t="shared" si="127"/>
        <v>264000000</v>
      </c>
      <c r="AI83" s="12">
        <f t="shared" si="124"/>
        <v>1035000000</v>
      </c>
      <c r="AJ83" s="12">
        <f t="shared" si="124"/>
        <v>5285</v>
      </c>
      <c r="AK83" s="12">
        <f t="shared" si="124"/>
        <v>85</v>
      </c>
      <c r="AL83" s="13">
        <f t="shared" si="121"/>
        <v>140</v>
      </c>
      <c r="AM83" s="13">
        <f t="shared" si="122"/>
        <v>145</v>
      </c>
      <c r="AN83" s="13">
        <f>P83-'[14]THÁNG 7'!L84</f>
        <v>0</v>
      </c>
    </row>
    <row r="84" spans="1:50" x14ac:dyDescent="0.15">
      <c r="A84" s="55" t="s">
        <v>127</v>
      </c>
      <c r="B84" s="56"/>
      <c r="C84" s="56" t="s">
        <v>128</v>
      </c>
      <c r="D84" s="56"/>
      <c r="E84" s="56"/>
      <c r="F84" s="12">
        <f t="shared" si="125"/>
        <v>357062238.09523803</v>
      </c>
      <c r="G84" s="12">
        <f t="shared" si="125"/>
        <v>220024047.61904764</v>
      </c>
      <c r="H84" s="12">
        <f t="shared" si="125"/>
        <v>327299190.47619045</v>
      </c>
      <c r="I84" s="27">
        <f t="shared" si="120"/>
        <v>301461825.39682537</v>
      </c>
      <c r="J84" s="12">
        <f t="shared" si="126"/>
        <v>41000000</v>
      </c>
      <c r="K84" s="12">
        <f t="shared" si="126"/>
        <v>164000000</v>
      </c>
      <c r="L84" s="12">
        <f t="shared" si="126"/>
        <v>123000000</v>
      </c>
      <c r="M84" s="12">
        <f t="shared" si="126"/>
        <v>82000000</v>
      </c>
      <c r="N84" s="12">
        <v>380000000</v>
      </c>
      <c r="O84" s="12">
        <f t="shared" si="126"/>
        <v>1450</v>
      </c>
      <c r="P84" s="12">
        <f t="shared" si="126"/>
        <v>27</v>
      </c>
      <c r="Q84" s="12">
        <f t="shared" si="126"/>
        <v>42500000</v>
      </c>
      <c r="R84" s="12">
        <f t="shared" si="126"/>
        <v>170000000</v>
      </c>
      <c r="S84" s="12">
        <f t="shared" si="126"/>
        <v>127500000</v>
      </c>
      <c r="T84" s="12">
        <f t="shared" si="126"/>
        <v>85000000</v>
      </c>
      <c r="U84" s="12">
        <v>420000000</v>
      </c>
      <c r="V84" s="12">
        <f t="shared" si="128"/>
        <v>1550</v>
      </c>
      <c r="W84" s="12">
        <f t="shared" si="128"/>
        <v>24</v>
      </c>
      <c r="X84" s="12">
        <f t="shared" si="127"/>
        <v>46500000</v>
      </c>
      <c r="Y84" s="12">
        <f t="shared" si="127"/>
        <v>186000000</v>
      </c>
      <c r="Z84" s="12">
        <f t="shared" si="127"/>
        <v>139500000</v>
      </c>
      <c r="AA84" s="12">
        <f t="shared" si="127"/>
        <v>93000000</v>
      </c>
      <c r="AB84" s="12">
        <v>450000000</v>
      </c>
      <c r="AC84" s="12">
        <f t="shared" si="127"/>
        <v>1680</v>
      </c>
      <c r="AD84" s="12">
        <f t="shared" si="127"/>
        <v>20</v>
      </c>
      <c r="AE84" s="12">
        <f t="shared" si="127"/>
        <v>130000000</v>
      </c>
      <c r="AF84" s="12">
        <f t="shared" si="127"/>
        <v>520000000</v>
      </c>
      <c r="AG84" s="12">
        <f t="shared" si="127"/>
        <v>390000000</v>
      </c>
      <c r="AH84" s="12">
        <f t="shared" si="127"/>
        <v>260000000</v>
      </c>
      <c r="AI84" s="12">
        <f t="shared" si="124"/>
        <v>1250000000</v>
      </c>
      <c r="AJ84" s="12">
        <f t="shared" si="124"/>
        <v>4680</v>
      </c>
      <c r="AK84" s="12">
        <f t="shared" si="124"/>
        <v>71</v>
      </c>
      <c r="AL84" s="13">
        <f t="shared" si="121"/>
        <v>100</v>
      </c>
      <c r="AM84" s="13">
        <f t="shared" si="122"/>
        <v>130</v>
      </c>
      <c r="AN84" s="13">
        <f>P84-'[14]THÁNG 7'!L85</f>
        <v>0</v>
      </c>
    </row>
    <row r="85" spans="1:50" x14ac:dyDescent="0.15">
      <c r="A85" s="55" t="s">
        <v>155</v>
      </c>
      <c r="B85" s="56"/>
      <c r="C85" s="56" t="s">
        <v>242</v>
      </c>
      <c r="D85" s="56"/>
      <c r="E85" s="56"/>
      <c r="F85" s="12">
        <f t="shared" si="125"/>
        <v>120523142.85714287</v>
      </c>
      <c r="G85" s="12">
        <f t="shared" si="125"/>
        <v>78895142.857142866</v>
      </c>
      <c r="H85" s="12">
        <f t="shared" si="125"/>
        <v>206322809.52380952</v>
      </c>
      <c r="I85" s="27">
        <f t="shared" si="120"/>
        <v>135247031.74603176</v>
      </c>
      <c r="J85" s="12">
        <f t="shared" si="126"/>
        <v>38500000</v>
      </c>
      <c r="K85" s="12">
        <f t="shared" si="126"/>
        <v>154000000</v>
      </c>
      <c r="L85" s="12">
        <f t="shared" si="126"/>
        <v>115500000</v>
      </c>
      <c r="M85" s="12">
        <f t="shared" si="126"/>
        <v>77000000</v>
      </c>
      <c r="N85" s="12">
        <v>330000000</v>
      </c>
      <c r="O85" s="12">
        <f t="shared" si="126"/>
        <v>1290</v>
      </c>
      <c r="P85" s="12">
        <f t="shared" si="126"/>
        <v>26</v>
      </c>
      <c r="Q85" s="12">
        <f t="shared" si="126"/>
        <v>40500000</v>
      </c>
      <c r="R85" s="12">
        <f t="shared" si="126"/>
        <v>162000000</v>
      </c>
      <c r="S85" s="12">
        <f t="shared" si="126"/>
        <v>121500000</v>
      </c>
      <c r="T85" s="12">
        <f t="shared" si="126"/>
        <v>81000000</v>
      </c>
      <c r="U85" s="12">
        <v>356000000</v>
      </c>
      <c r="V85" s="12">
        <f t="shared" si="128"/>
        <v>1410</v>
      </c>
      <c r="W85" s="12">
        <f t="shared" si="128"/>
        <v>24</v>
      </c>
      <c r="X85" s="12">
        <f t="shared" si="127"/>
        <v>44000000</v>
      </c>
      <c r="Y85" s="12">
        <f t="shared" si="127"/>
        <v>176000000</v>
      </c>
      <c r="Z85" s="12">
        <f t="shared" si="127"/>
        <v>132000000</v>
      </c>
      <c r="AA85" s="12">
        <f t="shared" si="127"/>
        <v>88000000</v>
      </c>
      <c r="AB85" s="12">
        <v>375000000</v>
      </c>
      <c r="AC85" s="12">
        <f t="shared" si="127"/>
        <v>1520</v>
      </c>
      <c r="AD85" s="12">
        <f t="shared" si="127"/>
        <v>20</v>
      </c>
      <c r="AE85" s="12">
        <f t="shared" si="127"/>
        <v>123000000</v>
      </c>
      <c r="AF85" s="12">
        <f t="shared" si="127"/>
        <v>492000000</v>
      </c>
      <c r="AG85" s="12">
        <f t="shared" si="127"/>
        <v>369000000</v>
      </c>
      <c r="AH85" s="12">
        <f t="shared" si="127"/>
        <v>246000000</v>
      </c>
      <c r="AI85" s="12">
        <f t="shared" si="124"/>
        <v>1061000000</v>
      </c>
      <c r="AJ85" s="12">
        <f t="shared" si="124"/>
        <v>4220</v>
      </c>
      <c r="AK85" s="12">
        <f t="shared" si="124"/>
        <v>70</v>
      </c>
      <c r="AL85" s="13">
        <f t="shared" si="121"/>
        <v>120</v>
      </c>
      <c r="AM85" s="13">
        <f t="shared" si="122"/>
        <v>110</v>
      </c>
      <c r="AN85" s="13">
        <f>P85-'[14]THÁNG 7'!L86</f>
        <v>0</v>
      </c>
    </row>
    <row r="86" spans="1:50" x14ac:dyDescent="0.15">
      <c r="A86" s="55" t="s">
        <v>178</v>
      </c>
      <c r="B86" s="56"/>
      <c r="C86" s="56" t="s">
        <v>179</v>
      </c>
      <c r="D86" s="56"/>
      <c r="E86" s="56"/>
      <c r="F86" s="12">
        <f t="shared" si="125"/>
        <v>217096857.14285713</v>
      </c>
      <c r="G86" s="12">
        <f t="shared" si="125"/>
        <v>155626333.33333334</v>
      </c>
      <c r="H86" s="12">
        <f t="shared" si="125"/>
        <v>121525523.80952381</v>
      </c>
      <c r="I86" s="27">
        <f t="shared" si="120"/>
        <v>164749571.42857143</v>
      </c>
      <c r="J86" s="12">
        <f t="shared" si="126"/>
        <v>39500000</v>
      </c>
      <c r="K86" s="12">
        <f t="shared" si="126"/>
        <v>158000000</v>
      </c>
      <c r="L86" s="12">
        <f t="shared" si="126"/>
        <v>118500000</v>
      </c>
      <c r="M86" s="12">
        <f t="shared" si="126"/>
        <v>79000000</v>
      </c>
      <c r="N86" s="12">
        <v>406800000</v>
      </c>
      <c r="O86" s="12">
        <f t="shared" si="126"/>
        <v>1400</v>
      </c>
      <c r="P86" s="12">
        <f t="shared" si="126"/>
        <v>26</v>
      </c>
      <c r="Q86" s="12">
        <f t="shared" si="126"/>
        <v>41500000</v>
      </c>
      <c r="R86" s="12">
        <f t="shared" si="126"/>
        <v>166000000</v>
      </c>
      <c r="S86" s="12">
        <f t="shared" si="126"/>
        <v>124500000</v>
      </c>
      <c r="T86" s="12">
        <f t="shared" si="126"/>
        <v>83000000</v>
      </c>
      <c r="U86" s="12">
        <v>426000000</v>
      </c>
      <c r="V86" s="12">
        <f t="shared" si="128"/>
        <v>1550</v>
      </c>
      <c r="W86" s="12">
        <f t="shared" si="128"/>
        <v>23</v>
      </c>
      <c r="X86" s="12">
        <f t="shared" si="127"/>
        <v>44500000</v>
      </c>
      <c r="Y86" s="12">
        <f t="shared" si="127"/>
        <v>178000000</v>
      </c>
      <c r="Z86" s="12">
        <f t="shared" si="127"/>
        <v>133500000</v>
      </c>
      <c r="AA86" s="12">
        <f t="shared" si="127"/>
        <v>89000000</v>
      </c>
      <c r="AB86" s="12">
        <f>U86*105%</f>
        <v>447300000</v>
      </c>
      <c r="AC86" s="12">
        <f t="shared" si="127"/>
        <v>1670</v>
      </c>
      <c r="AD86" s="12">
        <f t="shared" si="127"/>
        <v>20</v>
      </c>
      <c r="AE86" s="12">
        <f t="shared" si="127"/>
        <v>125500000</v>
      </c>
      <c r="AF86" s="12">
        <f t="shared" si="127"/>
        <v>502000000</v>
      </c>
      <c r="AG86" s="12">
        <f t="shared" si="127"/>
        <v>376500000</v>
      </c>
      <c r="AH86" s="12">
        <f t="shared" si="127"/>
        <v>251000000</v>
      </c>
      <c r="AI86" s="12">
        <f t="shared" si="124"/>
        <v>1280100000</v>
      </c>
      <c r="AJ86" s="12">
        <f t="shared" si="124"/>
        <v>4620</v>
      </c>
      <c r="AK86" s="12">
        <f t="shared" si="124"/>
        <v>69</v>
      </c>
      <c r="AL86" s="13">
        <f t="shared" si="121"/>
        <v>150</v>
      </c>
      <c r="AM86" s="13">
        <f t="shared" si="122"/>
        <v>120</v>
      </c>
      <c r="AN86" s="13">
        <f>P86-'[14]THÁNG 7'!L87</f>
        <v>0</v>
      </c>
    </row>
    <row r="87" spans="1:50" x14ac:dyDescent="0.15">
      <c r="A87" s="55" t="s">
        <v>210</v>
      </c>
      <c r="B87" s="56"/>
      <c r="C87" s="56" t="s">
        <v>211</v>
      </c>
      <c r="D87" s="56"/>
      <c r="E87" s="56"/>
      <c r="F87" s="12">
        <f t="shared" si="125"/>
        <v>653441047.61904764</v>
      </c>
      <c r="G87" s="12">
        <f t="shared" si="125"/>
        <v>657157380.9523809</v>
      </c>
      <c r="H87" s="12">
        <f t="shared" si="125"/>
        <v>591453619.04761899</v>
      </c>
      <c r="I87" s="27">
        <f t="shared" si="120"/>
        <v>634017349.20634925</v>
      </c>
      <c r="J87" s="12">
        <f t="shared" si="126"/>
        <v>81000000</v>
      </c>
      <c r="K87" s="12">
        <f t="shared" si="126"/>
        <v>324000000</v>
      </c>
      <c r="L87" s="12">
        <f t="shared" si="126"/>
        <v>243000000</v>
      </c>
      <c r="M87" s="12">
        <f t="shared" si="126"/>
        <v>162000000</v>
      </c>
      <c r="N87" s="12">
        <v>793800000</v>
      </c>
      <c r="O87" s="12">
        <f t="shared" si="126"/>
        <v>2390</v>
      </c>
      <c r="P87" s="12">
        <f t="shared" si="126"/>
        <v>24</v>
      </c>
      <c r="Q87" s="12">
        <f t="shared" si="126"/>
        <v>85000000</v>
      </c>
      <c r="R87" s="12">
        <f t="shared" si="126"/>
        <v>340000000</v>
      </c>
      <c r="S87" s="12">
        <f t="shared" si="126"/>
        <v>255000000</v>
      </c>
      <c r="T87" s="12">
        <f t="shared" si="126"/>
        <v>170000000</v>
      </c>
      <c r="U87" s="12">
        <v>832500000</v>
      </c>
      <c r="V87" s="12">
        <f t="shared" si="128"/>
        <v>2580</v>
      </c>
      <c r="W87" s="12">
        <f t="shared" si="128"/>
        <v>22</v>
      </c>
      <c r="X87" s="12">
        <f t="shared" si="127"/>
        <v>89000000</v>
      </c>
      <c r="Y87" s="12">
        <f t="shared" si="127"/>
        <v>356000000</v>
      </c>
      <c r="Z87" s="12">
        <f t="shared" si="127"/>
        <v>267000000</v>
      </c>
      <c r="AA87" s="12">
        <f t="shared" si="127"/>
        <v>178000000</v>
      </c>
      <c r="AB87" s="12">
        <v>869000000</v>
      </c>
      <c r="AC87" s="12">
        <f t="shared" si="127"/>
        <v>2720</v>
      </c>
      <c r="AD87" s="12">
        <f t="shared" si="127"/>
        <v>18</v>
      </c>
      <c r="AE87" s="12">
        <f t="shared" si="127"/>
        <v>255000000</v>
      </c>
      <c r="AF87" s="12">
        <f t="shared" si="127"/>
        <v>1020000000</v>
      </c>
      <c r="AG87" s="12">
        <f t="shared" si="127"/>
        <v>765000000</v>
      </c>
      <c r="AH87" s="12">
        <f t="shared" si="127"/>
        <v>510000000</v>
      </c>
      <c r="AI87" s="12">
        <f t="shared" si="124"/>
        <v>2495300000</v>
      </c>
      <c r="AJ87" s="12">
        <f t="shared" si="124"/>
        <v>7690</v>
      </c>
      <c r="AK87" s="12">
        <f t="shared" si="124"/>
        <v>64</v>
      </c>
      <c r="AL87" s="13">
        <f t="shared" si="121"/>
        <v>190</v>
      </c>
      <c r="AM87" s="13">
        <f t="shared" si="122"/>
        <v>140</v>
      </c>
      <c r="AN87" s="13">
        <f>P87-'[14]THÁNG 7'!L88</f>
        <v>0</v>
      </c>
    </row>
    <row r="88" spans="1:50" x14ac:dyDescent="0.15">
      <c r="A88" s="55" t="s">
        <v>240</v>
      </c>
      <c r="B88" s="56"/>
      <c r="C88" s="56" t="s">
        <v>241</v>
      </c>
      <c r="D88" s="56"/>
      <c r="E88" s="56"/>
      <c r="F88" s="12">
        <f t="shared" si="125"/>
        <v>535978047.6190477</v>
      </c>
      <c r="G88" s="12">
        <f t="shared" si="125"/>
        <v>359211523.80952382</v>
      </c>
      <c r="H88" s="12">
        <f t="shared" si="125"/>
        <v>476326238.09523815</v>
      </c>
      <c r="I88" s="27">
        <f t="shared" si="120"/>
        <v>457171936.50793654</v>
      </c>
      <c r="J88" s="12">
        <f t="shared" si="126"/>
        <v>53500000</v>
      </c>
      <c r="K88" s="12">
        <f t="shared" si="126"/>
        <v>214000000</v>
      </c>
      <c r="L88" s="12">
        <f t="shared" si="126"/>
        <v>160500000</v>
      </c>
      <c r="M88" s="12">
        <f t="shared" si="126"/>
        <v>107000000</v>
      </c>
      <c r="N88" s="57">
        <v>547200000</v>
      </c>
      <c r="O88" s="12">
        <f t="shared" si="126"/>
        <v>2175</v>
      </c>
      <c r="P88" s="12">
        <f t="shared" si="126"/>
        <v>24</v>
      </c>
      <c r="Q88" s="12">
        <f t="shared" si="126"/>
        <v>56500000</v>
      </c>
      <c r="R88" s="12">
        <f t="shared" si="126"/>
        <v>226000000</v>
      </c>
      <c r="S88" s="12">
        <f t="shared" si="126"/>
        <v>169500000</v>
      </c>
      <c r="T88" s="12">
        <f t="shared" si="126"/>
        <v>113000000</v>
      </c>
      <c r="U88" s="12">
        <v>555000000</v>
      </c>
      <c r="V88" s="12">
        <f t="shared" si="128"/>
        <v>2205</v>
      </c>
      <c r="W88" s="12">
        <f t="shared" si="128"/>
        <v>21</v>
      </c>
      <c r="X88" s="12">
        <f t="shared" si="127"/>
        <v>57000000</v>
      </c>
      <c r="Y88" s="12">
        <f t="shared" si="127"/>
        <v>228000000</v>
      </c>
      <c r="Z88" s="12">
        <f t="shared" si="127"/>
        <v>171000000</v>
      </c>
      <c r="AA88" s="12">
        <f t="shared" si="127"/>
        <v>114000000</v>
      </c>
      <c r="AB88" s="12">
        <v>570000000</v>
      </c>
      <c r="AC88" s="12">
        <f t="shared" si="127"/>
        <v>2380</v>
      </c>
      <c r="AD88" s="12">
        <f t="shared" si="127"/>
        <v>18</v>
      </c>
      <c r="AE88" s="12">
        <f t="shared" si="127"/>
        <v>167000000</v>
      </c>
      <c r="AF88" s="12">
        <f t="shared" si="127"/>
        <v>668000000</v>
      </c>
      <c r="AG88" s="12">
        <f t="shared" si="127"/>
        <v>501000000</v>
      </c>
      <c r="AH88" s="12">
        <f t="shared" si="127"/>
        <v>334000000</v>
      </c>
      <c r="AI88" s="12">
        <f t="shared" si="124"/>
        <v>1672200000</v>
      </c>
      <c r="AJ88" s="12">
        <f t="shared" si="124"/>
        <v>6760</v>
      </c>
      <c r="AK88" s="12">
        <f t="shared" si="124"/>
        <v>63</v>
      </c>
      <c r="AL88" s="13">
        <f t="shared" si="121"/>
        <v>30</v>
      </c>
      <c r="AM88" s="13">
        <f t="shared" si="122"/>
        <v>175</v>
      </c>
      <c r="AN88" s="13">
        <f>P88-'[14]THÁNG 7'!L89</f>
        <v>0</v>
      </c>
    </row>
    <row r="89" spans="1:50" s="64" customFormat="1" ht="14.25" customHeight="1" x14ac:dyDescent="0.15">
      <c r="A89" s="58"/>
      <c r="B89" s="59"/>
      <c r="C89" s="60" t="s">
        <v>243</v>
      </c>
      <c r="D89" s="59"/>
      <c r="E89" s="59"/>
      <c r="F89" s="59"/>
      <c r="G89" s="59"/>
      <c r="H89" s="59"/>
      <c r="I89" s="59"/>
      <c r="J89" s="57"/>
      <c r="K89" s="57"/>
      <c r="L89" s="57"/>
      <c r="M89" s="57"/>
      <c r="N89" s="61">
        <f>SUM(N81:N88)</f>
        <v>3468416250</v>
      </c>
      <c r="O89" s="61">
        <f t="shared" ref="O89:AI89" si="129">SUM(O81:O88)</f>
        <v>12000</v>
      </c>
      <c r="P89" s="61">
        <f t="shared" si="129"/>
        <v>200</v>
      </c>
      <c r="Q89" s="61">
        <f t="shared" si="129"/>
        <v>368493363.80000001</v>
      </c>
      <c r="R89" s="61">
        <f t="shared" si="129"/>
        <v>1473973455.2</v>
      </c>
      <c r="S89" s="61">
        <f t="shared" si="129"/>
        <v>1105480091.4000001</v>
      </c>
      <c r="T89" s="61">
        <f t="shared" si="129"/>
        <v>736986727.60000002</v>
      </c>
      <c r="U89" s="61">
        <f t="shared" si="129"/>
        <v>3675000000</v>
      </c>
      <c r="V89" s="61">
        <f t="shared" si="129"/>
        <v>13000</v>
      </c>
      <c r="W89" s="61">
        <f t="shared" si="129"/>
        <v>180</v>
      </c>
      <c r="X89" s="61">
        <f t="shared" si="129"/>
        <v>394000000</v>
      </c>
      <c r="Y89" s="61">
        <f t="shared" si="129"/>
        <v>1576000000</v>
      </c>
      <c r="Z89" s="61">
        <f t="shared" si="129"/>
        <v>1182000000</v>
      </c>
      <c r="AA89" s="61">
        <f t="shared" si="129"/>
        <v>788000000</v>
      </c>
      <c r="AB89" s="61">
        <f t="shared" si="129"/>
        <v>3858750000</v>
      </c>
      <c r="AC89" s="61">
        <f t="shared" si="129"/>
        <v>14000</v>
      </c>
      <c r="AD89" s="61">
        <f t="shared" si="129"/>
        <v>150</v>
      </c>
      <c r="AE89" s="61">
        <f t="shared" si="129"/>
        <v>1119500000</v>
      </c>
      <c r="AF89" s="61">
        <f t="shared" si="129"/>
        <v>4478000000</v>
      </c>
      <c r="AG89" s="61">
        <f t="shared" si="129"/>
        <v>3358500000</v>
      </c>
      <c r="AH89" s="61">
        <f t="shared" si="129"/>
        <v>2239000000</v>
      </c>
      <c r="AI89" s="61">
        <f t="shared" si="129"/>
        <v>11002166250</v>
      </c>
      <c r="AJ89" s="62"/>
      <c r="AK89" s="62"/>
      <c r="AL89" s="63"/>
      <c r="AM89" s="63"/>
      <c r="AN89" s="63"/>
      <c r="AO89" s="63"/>
      <c r="AP89" s="63"/>
      <c r="AQ89" s="63"/>
      <c r="AR89" s="63"/>
      <c r="AS89" s="63"/>
      <c r="AT89" s="63"/>
      <c r="AU89" s="63"/>
      <c r="AV89" s="63"/>
      <c r="AW89" s="63"/>
      <c r="AX89" s="63"/>
    </row>
    <row r="90" spans="1:50" s="66" customFormat="1" ht="14.25" customHeight="1" x14ac:dyDescent="0.15">
      <c r="A90" s="65"/>
      <c r="C90" s="67" t="s">
        <v>244</v>
      </c>
      <c r="J90" s="68"/>
      <c r="K90" s="68"/>
      <c r="L90" s="68"/>
      <c r="M90" s="68"/>
      <c r="N90" s="68">
        <f>N80-N89</f>
        <v>31583750</v>
      </c>
      <c r="O90" s="68">
        <f t="shared" ref="O90:AI90" si="130">O80-O89</f>
        <v>0</v>
      </c>
      <c r="P90" s="68">
        <f t="shared" si="130"/>
        <v>0</v>
      </c>
      <c r="Q90" s="68">
        <f t="shared" si="130"/>
        <v>0</v>
      </c>
      <c r="R90" s="68">
        <f t="shared" si="130"/>
        <v>0</v>
      </c>
      <c r="S90" s="68">
        <f t="shared" si="130"/>
        <v>0</v>
      </c>
      <c r="T90" s="68">
        <f t="shared" si="130"/>
        <v>0</v>
      </c>
      <c r="U90" s="68">
        <f t="shared" si="130"/>
        <v>0</v>
      </c>
      <c r="V90" s="68">
        <f t="shared" si="130"/>
        <v>0</v>
      </c>
      <c r="W90" s="68">
        <f t="shared" si="130"/>
        <v>0</v>
      </c>
      <c r="X90" s="68">
        <f t="shared" si="130"/>
        <v>0</v>
      </c>
      <c r="Y90" s="68">
        <f t="shared" si="130"/>
        <v>0</v>
      </c>
      <c r="Z90" s="68">
        <f t="shared" si="130"/>
        <v>0</v>
      </c>
      <c r="AA90" s="68">
        <f t="shared" si="130"/>
        <v>0</v>
      </c>
      <c r="AB90" s="68">
        <f t="shared" si="130"/>
        <v>0</v>
      </c>
      <c r="AC90" s="68">
        <f t="shared" si="130"/>
        <v>0</v>
      </c>
      <c r="AD90" s="68">
        <f t="shared" si="130"/>
        <v>0</v>
      </c>
      <c r="AE90" s="68">
        <f t="shared" si="130"/>
        <v>0</v>
      </c>
      <c r="AF90" s="68">
        <f t="shared" si="130"/>
        <v>0</v>
      </c>
      <c r="AG90" s="68">
        <f t="shared" si="130"/>
        <v>0</v>
      </c>
      <c r="AH90" s="68">
        <f t="shared" si="130"/>
        <v>0</v>
      </c>
      <c r="AI90" s="68">
        <f t="shared" si="130"/>
        <v>31583750</v>
      </c>
      <c r="AJ90" s="69"/>
      <c r="AK90" s="69"/>
    </row>
    <row r="91" spans="1:50" s="64" customFormat="1" ht="12.75" customHeight="1" x14ac:dyDescent="0.15">
      <c r="A91" s="70"/>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63"/>
      <c r="AM91" s="63"/>
      <c r="AN91" s="63"/>
      <c r="AO91" s="63"/>
      <c r="AP91" s="63"/>
      <c r="AQ91" s="63"/>
      <c r="AR91" s="63"/>
      <c r="AS91" s="63"/>
      <c r="AT91" s="63"/>
      <c r="AU91" s="63"/>
      <c r="AV91" s="63"/>
      <c r="AW91" s="63"/>
      <c r="AX91" s="63"/>
    </row>
    <row r="92" spans="1:50" s="75" customFormat="1" ht="12.75" customHeight="1" x14ac:dyDescent="0.15">
      <c r="A92" s="72"/>
      <c r="B92" s="73"/>
      <c r="C92" s="72" t="s">
        <v>245</v>
      </c>
      <c r="D92" s="73"/>
      <c r="E92" s="73"/>
      <c r="F92" s="73"/>
      <c r="G92" s="73"/>
      <c r="H92" s="73"/>
      <c r="I92" s="73"/>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5" t="s">
        <v>246</v>
      </c>
    </row>
    <row r="93" spans="1:50" s="64" customFormat="1" ht="12.75" customHeight="1" x14ac:dyDescent="0.15">
      <c r="A93" s="58" t="s">
        <v>49</v>
      </c>
      <c r="B93" s="59"/>
      <c r="C93" s="59" t="s">
        <v>242</v>
      </c>
      <c r="D93" s="59"/>
      <c r="E93" s="59"/>
      <c r="F93" s="59"/>
      <c r="G93" s="59"/>
      <c r="H93" s="59"/>
      <c r="I93" s="59"/>
      <c r="J93" s="57"/>
      <c r="K93" s="57"/>
      <c r="L93" s="57"/>
      <c r="M93" s="57"/>
      <c r="N93" s="76">
        <f>N81-SUMIF($A$14:$A$78,$A81,N$14:N$78)</f>
        <v>67980750</v>
      </c>
      <c r="O93" s="76">
        <f t="shared" ref="O93:AI100" si="131">O81-SUMIF($A$14:$A$78,$A81,O$14:O$78)</f>
        <v>0</v>
      </c>
      <c r="P93" s="76">
        <f t="shared" si="131"/>
        <v>0</v>
      </c>
      <c r="Q93" s="76">
        <f t="shared" si="131"/>
        <v>-4006636.1999999993</v>
      </c>
      <c r="R93" s="76">
        <f t="shared" si="131"/>
        <v>-16026544.799999997</v>
      </c>
      <c r="S93" s="76">
        <f t="shared" si="131"/>
        <v>-12019908.600000009</v>
      </c>
      <c r="T93" s="76">
        <f t="shared" si="131"/>
        <v>-8013272.3999999985</v>
      </c>
      <c r="U93" s="76">
        <f t="shared" si="131"/>
        <v>67000000</v>
      </c>
      <c r="V93" s="76">
        <f t="shared" si="131"/>
        <v>0</v>
      </c>
      <c r="W93" s="76">
        <f t="shared" si="131"/>
        <v>0</v>
      </c>
      <c r="X93" s="76">
        <f t="shared" si="131"/>
        <v>0</v>
      </c>
      <c r="Y93" s="76">
        <f t="shared" si="131"/>
        <v>0</v>
      </c>
      <c r="Z93" s="76">
        <f t="shared" si="131"/>
        <v>0</v>
      </c>
      <c r="AA93" s="76">
        <f t="shared" si="131"/>
        <v>0</v>
      </c>
      <c r="AB93" s="76">
        <f t="shared" si="131"/>
        <v>62275000</v>
      </c>
      <c r="AC93" s="57">
        <f t="shared" si="131"/>
        <v>0</v>
      </c>
      <c r="AD93" s="57">
        <f t="shared" si="131"/>
        <v>0</v>
      </c>
      <c r="AE93" s="57">
        <f t="shared" si="131"/>
        <v>0</v>
      </c>
      <c r="AF93" s="57">
        <f t="shared" si="131"/>
        <v>0</v>
      </c>
      <c r="AG93" s="57">
        <f t="shared" si="131"/>
        <v>0</v>
      </c>
      <c r="AH93" s="57">
        <f t="shared" si="131"/>
        <v>0</v>
      </c>
      <c r="AI93" s="57">
        <f t="shared" si="131"/>
        <v>197255750</v>
      </c>
      <c r="AJ93" s="77"/>
      <c r="AK93" s="77"/>
      <c r="AL93" s="63"/>
      <c r="AM93" s="63"/>
      <c r="AN93" s="63"/>
      <c r="AO93" s="63"/>
      <c r="AP93" s="63"/>
      <c r="AQ93" s="63"/>
      <c r="AR93" s="63"/>
      <c r="AS93" s="63"/>
      <c r="AT93" s="63"/>
      <c r="AU93" s="63"/>
      <c r="AV93" s="63"/>
      <c r="AW93" s="63"/>
      <c r="AX93" s="63"/>
    </row>
    <row r="94" spans="1:50" s="64" customFormat="1" ht="12.75" customHeight="1" x14ac:dyDescent="0.15">
      <c r="A94" s="58" t="s">
        <v>65</v>
      </c>
      <c r="B94" s="59"/>
      <c r="C94" s="59" t="s">
        <v>66</v>
      </c>
      <c r="D94" s="59"/>
      <c r="E94" s="59"/>
      <c r="F94" s="59"/>
      <c r="G94" s="59"/>
      <c r="H94" s="59"/>
      <c r="I94" s="59"/>
      <c r="J94" s="57"/>
      <c r="K94" s="57"/>
      <c r="L94" s="57"/>
      <c r="M94" s="57"/>
      <c r="N94" s="76">
        <f t="shared" ref="N94:AC100" si="132">N82-SUMIF($A$14:$A$78,$A82,N$14:N$78)</f>
        <v>47635500</v>
      </c>
      <c r="O94" s="76">
        <f t="shared" si="132"/>
        <v>0</v>
      </c>
      <c r="P94" s="76">
        <f t="shared" si="132"/>
        <v>0</v>
      </c>
      <c r="Q94" s="76">
        <f t="shared" si="132"/>
        <v>0</v>
      </c>
      <c r="R94" s="76">
        <f t="shared" si="132"/>
        <v>0</v>
      </c>
      <c r="S94" s="76">
        <f t="shared" si="132"/>
        <v>0</v>
      </c>
      <c r="T94" s="76">
        <f t="shared" si="132"/>
        <v>0</v>
      </c>
      <c r="U94" s="76">
        <f t="shared" si="132"/>
        <v>48500000</v>
      </c>
      <c r="V94" s="76">
        <f t="shared" si="132"/>
        <v>0</v>
      </c>
      <c r="W94" s="76">
        <f t="shared" si="132"/>
        <v>0</v>
      </c>
      <c r="X94" s="76">
        <f t="shared" si="132"/>
        <v>0</v>
      </c>
      <c r="Y94" s="76">
        <f t="shared" si="132"/>
        <v>0</v>
      </c>
      <c r="Z94" s="76">
        <f t="shared" si="132"/>
        <v>0</v>
      </c>
      <c r="AA94" s="76">
        <f t="shared" si="132"/>
        <v>0</v>
      </c>
      <c r="AB94" s="76">
        <f t="shared" si="132"/>
        <v>45175000</v>
      </c>
      <c r="AC94" s="57">
        <f t="shared" si="132"/>
        <v>0</v>
      </c>
      <c r="AD94" s="57">
        <f t="shared" si="131"/>
        <v>0</v>
      </c>
      <c r="AE94" s="57">
        <f t="shared" si="131"/>
        <v>0</v>
      </c>
      <c r="AF94" s="57">
        <f t="shared" si="131"/>
        <v>0</v>
      </c>
      <c r="AG94" s="57">
        <f t="shared" si="131"/>
        <v>0</v>
      </c>
      <c r="AH94" s="57">
        <f t="shared" si="131"/>
        <v>0</v>
      </c>
      <c r="AI94" s="57">
        <f t="shared" si="131"/>
        <v>141310500</v>
      </c>
      <c r="AJ94" s="77"/>
      <c r="AK94" s="77"/>
      <c r="AL94" s="63"/>
      <c r="AM94" s="63"/>
      <c r="AN94" s="63"/>
      <c r="AO94" s="63"/>
      <c r="AP94" s="63"/>
      <c r="AQ94" s="63"/>
      <c r="AR94" s="63"/>
      <c r="AS94" s="63"/>
      <c r="AT94" s="63"/>
      <c r="AU94" s="63"/>
      <c r="AV94" s="63"/>
      <c r="AW94" s="63"/>
      <c r="AX94" s="63"/>
    </row>
    <row r="95" spans="1:50" s="64" customFormat="1" ht="12.75" customHeight="1" x14ac:dyDescent="0.15">
      <c r="A95" s="58" t="s">
        <v>95</v>
      </c>
      <c r="B95" s="59"/>
      <c r="C95" s="59" t="s">
        <v>96</v>
      </c>
      <c r="D95" s="59"/>
      <c r="E95" s="59"/>
      <c r="F95" s="59"/>
      <c r="G95" s="59"/>
      <c r="H95" s="59"/>
      <c r="I95" s="59"/>
      <c r="J95" s="57"/>
      <c r="K95" s="57"/>
      <c r="L95" s="57"/>
      <c r="M95" s="57"/>
      <c r="N95" s="57">
        <f t="shared" si="132"/>
        <v>-100000000</v>
      </c>
      <c r="O95" s="57">
        <f t="shared" si="131"/>
        <v>0</v>
      </c>
      <c r="P95" s="57">
        <f t="shared" si="131"/>
        <v>0</v>
      </c>
      <c r="Q95" s="57">
        <f t="shared" si="131"/>
        <v>0</v>
      </c>
      <c r="R95" s="57">
        <f t="shared" si="131"/>
        <v>0</v>
      </c>
      <c r="S95" s="57">
        <f t="shared" si="131"/>
        <v>0</v>
      </c>
      <c r="T95" s="57">
        <f t="shared" si="131"/>
        <v>0</v>
      </c>
      <c r="U95" s="57">
        <f t="shared" si="131"/>
        <v>-95000000</v>
      </c>
      <c r="V95" s="57">
        <f t="shared" si="131"/>
        <v>0</v>
      </c>
      <c r="W95" s="57">
        <f t="shared" si="131"/>
        <v>0</v>
      </c>
      <c r="X95" s="57">
        <f t="shared" si="131"/>
        <v>0</v>
      </c>
      <c r="Y95" s="57">
        <f t="shared" si="131"/>
        <v>0</v>
      </c>
      <c r="Z95" s="57">
        <f t="shared" si="131"/>
        <v>0</v>
      </c>
      <c r="AA95" s="57">
        <f t="shared" si="131"/>
        <v>0</v>
      </c>
      <c r="AB95" s="57">
        <f t="shared" si="131"/>
        <v>-90000000</v>
      </c>
      <c r="AC95" s="57">
        <f t="shared" si="131"/>
        <v>0</v>
      </c>
      <c r="AD95" s="57">
        <f t="shared" si="131"/>
        <v>0</v>
      </c>
      <c r="AE95" s="57">
        <f t="shared" si="131"/>
        <v>0</v>
      </c>
      <c r="AF95" s="57">
        <f t="shared" si="131"/>
        <v>0</v>
      </c>
      <c r="AG95" s="57">
        <f t="shared" si="131"/>
        <v>0</v>
      </c>
      <c r="AH95" s="57">
        <f t="shared" si="131"/>
        <v>0</v>
      </c>
      <c r="AI95" s="57">
        <f t="shared" si="131"/>
        <v>-285000000</v>
      </c>
      <c r="AJ95" s="77"/>
      <c r="AK95" s="77"/>
      <c r="AL95" s="63"/>
      <c r="AM95" s="63"/>
      <c r="AN95" s="63"/>
      <c r="AO95" s="63"/>
      <c r="AP95" s="63"/>
      <c r="AQ95" s="63"/>
      <c r="AR95" s="63"/>
      <c r="AS95" s="63"/>
      <c r="AT95" s="63"/>
      <c r="AU95" s="63"/>
      <c r="AV95" s="63"/>
      <c r="AW95" s="63"/>
      <c r="AX95" s="63"/>
    </row>
    <row r="96" spans="1:50" s="64" customFormat="1" ht="12.75" customHeight="1" x14ac:dyDescent="0.15">
      <c r="A96" s="58" t="s">
        <v>127</v>
      </c>
      <c r="B96" s="59"/>
      <c r="C96" s="59" t="s">
        <v>128</v>
      </c>
      <c r="D96" s="59"/>
      <c r="E96" s="59"/>
      <c r="F96" s="59"/>
      <c r="G96" s="59"/>
      <c r="H96" s="59"/>
      <c r="I96" s="59"/>
      <c r="J96" s="57"/>
      <c r="K96" s="57"/>
      <c r="L96" s="57"/>
      <c r="M96" s="57"/>
      <c r="N96" s="57">
        <f t="shared" si="132"/>
        <v>-30000000</v>
      </c>
      <c r="O96" s="57">
        <f t="shared" si="131"/>
        <v>0</v>
      </c>
      <c r="P96" s="57">
        <f t="shared" si="131"/>
        <v>0</v>
      </c>
      <c r="Q96" s="57">
        <f t="shared" si="131"/>
        <v>0</v>
      </c>
      <c r="R96" s="57">
        <f t="shared" si="131"/>
        <v>0</v>
      </c>
      <c r="S96" s="57">
        <f t="shared" si="131"/>
        <v>0</v>
      </c>
      <c r="T96" s="57">
        <f t="shared" si="131"/>
        <v>0</v>
      </c>
      <c r="U96" s="57">
        <f t="shared" si="131"/>
        <v>-5000000</v>
      </c>
      <c r="V96" s="57">
        <f t="shared" si="131"/>
        <v>0</v>
      </c>
      <c r="W96" s="57">
        <f t="shared" si="131"/>
        <v>0</v>
      </c>
      <c r="X96" s="57">
        <f t="shared" si="131"/>
        <v>0</v>
      </c>
      <c r="Y96" s="57">
        <f t="shared" si="131"/>
        <v>0</v>
      </c>
      <c r="Z96" s="57">
        <f t="shared" si="131"/>
        <v>0</v>
      </c>
      <c r="AA96" s="57">
        <f t="shared" si="131"/>
        <v>0</v>
      </c>
      <c r="AB96" s="76">
        <f>AB84-SUMIF($A$14:$A$78,$A84,AB$14:AB$78)</f>
        <v>-15000000</v>
      </c>
      <c r="AC96" s="57">
        <f t="shared" si="131"/>
        <v>0</v>
      </c>
      <c r="AD96" s="57">
        <f t="shared" si="131"/>
        <v>0</v>
      </c>
      <c r="AE96" s="57">
        <f t="shared" si="131"/>
        <v>0</v>
      </c>
      <c r="AF96" s="57">
        <f t="shared" si="131"/>
        <v>0</v>
      </c>
      <c r="AG96" s="57">
        <f t="shared" si="131"/>
        <v>0</v>
      </c>
      <c r="AH96" s="57">
        <f t="shared" si="131"/>
        <v>0</v>
      </c>
      <c r="AI96" s="57">
        <f t="shared" si="131"/>
        <v>-50000000</v>
      </c>
      <c r="AJ96" s="77"/>
      <c r="AK96" s="77"/>
      <c r="AL96" s="63"/>
      <c r="AM96" s="63"/>
      <c r="AN96" s="63"/>
      <c r="AO96" s="63"/>
      <c r="AP96" s="63"/>
      <c r="AQ96" s="63"/>
      <c r="AR96" s="63"/>
      <c r="AS96" s="63"/>
      <c r="AT96" s="63"/>
      <c r="AU96" s="63"/>
      <c r="AV96" s="63"/>
      <c r="AW96" s="63"/>
      <c r="AX96" s="63"/>
    </row>
    <row r="97" spans="1:50" s="64" customFormat="1" ht="12.75" customHeight="1" x14ac:dyDescent="0.15">
      <c r="A97" s="58" t="s">
        <v>155</v>
      </c>
      <c r="B97" s="59"/>
      <c r="C97" s="59" t="s">
        <v>242</v>
      </c>
      <c r="D97" s="59"/>
      <c r="E97" s="59"/>
      <c r="F97" s="59"/>
      <c r="G97" s="59"/>
      <c r="H97" s="59"/>
      <c r="I97" s="59"/>
      <c r="J97" s="57"/>
      <c r="K97" s="57"/>
      <c r="L97" s="57"/>
      <c r="M97" s="57"/>
      <c r="N97" s="57">
        <f t="shared" si="132"/>
        <v>-55000000</v>
      </c>
      <c r="O97" s="57">
        <f t="shared" si="131"/>
        <v>0</v>
      </c>
      <c r="P97" s="57">
        <f t="shared" si="131"/>
        <v>0</v>
      </c>
      <c r="Q97" s="57">
        <f t="shared" si="131"/>
        <v>0</v>
      </c>
      <c r="R97" s="57">
        <f t="shared" si="131"/>
        <v>0</v>
      </c>
      <c r="S97" s="57">
        <f t="shared" si="131"/>
        <v>0</v>
      </c>
      <c r="T97" s="57">
        <f t="shared" si="131"/>
        <v>0</v>
      </c>
      <c r="U97" s="57">
        <f t="shared" si="131"/>
        <v>-49000000</v>
      </c>
      <c r="V97" s="57">
        <f t="shared" si="131"/>
        <v>0</v>
      </c>
      <c r="W97" s="57">
        <f t="shared" si="131"/>
        <v>0</v>
      </c>
      <c r="X97" s="57">
        <f t="shared" si="131"/>
        <v>0</v>
      </c>
      <c r="Y97" s="57">
        <f t="shared" si="131"/>
        <v>0</v>
      </c>
      <c r="Z97" s="57">
        <f t="shared" si="131"/>
        <v>0</v>
      </c>
      <c r="AA97" s="57">
        <f t="shared" si="131"/>
        <v>0</v>
      </c>
      <c r="AB97" s="57">
        <f t="shared" si="131"/>
        <v>-65000000</v>
      </c>
      <c r="AC97" s="57">
        <f t="shared" si="131"/>
        <v>0</v>
      </c>
      <c r="AD97" s="57">
        <f t="shared" si="131"/>
        <v>0</v>
      </c>
      <c r="AE97" s="57">
        <f t="shared" si="131"/>
        <v>0</v>
      </c>
      <c r="AF97" s="57">
        <f t="shared" si="131"/>
        <v>0</v>
      </c>
      <c r="AG97" s="57">
        <f t="shared" si="131"/>
        <v>0</v>
      </c>
      <c r="AH97" s="57">
        <f t="shared" si="131"/>
        <v>0</v>
      </c>
      <c r="AI97" s="57">
        <f t="shared" si="131"/>
        <v>-169000000</v>
      </c>
      <c r="AJ97" s="77"/>
      <c r="AK97" s="77"/>
      <c r="AL97" s="63"/>
      <c r="AM97" s="63"/>
      <c r="AN97" s="63"/>
      <c r="AO97" s="63"/>
      <c r="AP97" s="63"/>
      <c r="AQ97" s="63"/>
      <c r="AR97" s="63"/>
      <c r="AS97" s="63"/>
      <c r="AT97" s="63"/>
      <c r="AU97" s="63"/>
      <c r="AV97" s="63"/>
      <c r="AW97" s="63"/>
      <c r="AX97" s="63"/>
    </row>
    <row r="98" spans="1:50" s="64" customFormat="1" ht="12.75" customHeight="1" x14ac:dyDescent="0.15">
      <c r="A98" s="58" t="s">
        <v>178</v>
      </c>
      <c r="B98" s="59"/>
      <c r="C98" s="59" t="s">
        <v>179</v>
      </c>
      <c r="D98" s="59"/>
      <c r="E98" s="59"/>
      <c r="F98" s="59"/>
      <c r="G98" s="59"/>
      <c r="H98" s="59"/>
      <c r="I98" s="59"/>
      <c r="J98" s="57"/>
      <c r="K98" s="57"/>
      <c r="L98" s="57"/>
      <c r="M98" s="57"/>
      <c r="N98" s="76">
        <f t="shared" si="132"/>
        <v>11800000</v>
      </c>
      <c r="O98" s="76">
        <f t="shared" si="131"/>
        <v>0</v>
      </c>
      <c r="P98" s="76">
        <f t="shared" si="131"/>
        <v>0</v>
      </c>
      <c r="Q98" s="76">
        <f t="shared" si="131"/>
        <v>0</v>
      </c>
      <c r="R98" s="76">
        <f t="shared" si="131"/>
        <v>0</v>
      </c>
      <c r="S98" s="76">
        <f t="shared" si="131"/>
        <v>0</v>
      </c>
      <c r="T98" s="76">
        <f t="shared" si="131"/>
        <v>0</v>
      </c>
      <c r="U98" s="76">
        <f t="shared" si="131"/>
        <v>11000000</v>
      </c>
      <c r="V98" s="76">
        <f t="shared" si="131"/>
        <v>0</v>
      </c>
      <c r="W98" s="76">
        <f t="shared" si="131"/>
        <v>0</v>
      </c>
      <c r="X98" s="76">
        <f t="shared" si="131"/>
        <v>0</v>
      </c>
      <c r="Y98" s="76">
        <f t="shared" si="131"/>
        <v>0</v>
      </c>
      <c r="Z98" s="76">
        <f t="shared" si="131"/>
        <v>0</v>
      </c>
      <c r="AA98" s="76">
        <f t="shared" si="131"/>
        <v>0</v>
      </c>
      <c r="AB98" s="76">
        <f t="shared" si="131"/>
        <v>2300000</v>
      </c>
      <c r="AC98" s="57">
        <f t="shared" si="131"/>
        <v>0</v>
      </c>
      <c r="AD98" s="57">
        <f t="shared" si="131"/>
        <v>0</v>
      </c>
      <c r="AE98" s="57">
        <f t="shared" si="131"/>
        <v>0</v>
      </c>
      <c r="AF98" s="57">
        <f t="shared" si="131"/>
        <v>0</v>
      </c>
      <c r="AG98" s="57">
        <f t="shared" si="131"/>
        <v>0</v>
      </c>
      <c r="AH98" s="57">
        <f t="shared" si="131"/>
        <v>0</v>
      </c>
      <c r="AI98" s="57">
        <f t="shared" si="131"/>
        <v>25100000</v>
      </c>
      <c r="AJ98" s="77"/>
      <c r="AK98" s="77"/>
      <c r="AL98" s="63"/>
      <c r="AM98" s="63"/>
      <c r="AN98" s="63"/>
      <c r="AO98" s="63"/>
      <c r="AP98" s="63"/>
      <c r="AQ98" s="63"/>
      <c r="AR98" s="63"/>
      <c r="AS98" s="63"/>
      <c r="AT98" s="63"/>
      <c r="AU98" s="63"/>
      <c r="AV98" s="63"/>
      <c r="AW98" s="63"/>
      <c r="AX98" s="63"/>
    </row>
    <row r="99" spans="1:50" s="64" customFormat="1" ht="12.75" customHeight="1" x14ac:dyDescent="0.15">
      <c r="A99" s="58" t="s">
        <v>210</v>
      </c>
      <c r="B99" s="59"/>
      <c r="C99" s="59" t="s">
        <v>211</v>
      </c>
      <c r="D99" s="59"/>
      <c r="E99" s="59"/>
      <c r="F99" s="59"/>
      <c r="G99" s="59"/>
      <c r="H99" s="59"/>
      <c r="I99" s="59"/>
      <c r="J99" s="57"/>
      <c r="K99" s="57"/>
      <c r="L99" s="57"/>
      <c r="M99" s="57"/>
      <c r="N99" s="57">
        <f t="shared" si="132"/>
        <v>-16200000</v>
      </c>
      <c r="O99" s="57">
        <f t="shared" si="131"/>
        <v>0</v>
      </c>
      <c r="P99" s="57">
        <f t="shared" si="131"/>
        <v>0</v>
      </c>
      <c r="Q99" s="57">
        <f t="shared" si="131"/>
        <v>0</v>
      </c>
      <c r="R99" s="57">
        <f t="shared" si="131"/>
        <v>0</v>
      </c>
      <c r="S99" s="57">
        <f t="shared" si="131"/>
        <v>0</v>
      </c>
      <c r="T99" s="57">
        <f t="shared" si="131"/>
        <v>0</v>
      </c>
      <c r="U99" s="57">
        <f t="shared" si="131"/>
        <v>-17500000</v>
      </c>
      <c r="V99" s="57">
        <f t="shared" si="131"/>
        <v>0</v>
      </c>
      <c r="W99" s="57">
        <f t="shared" si="131"/>
        <v>0</v>
      </c>
      <c r="X99" s="57">
        <f t="shared" si="131"/>
        <v>0</v>
      </c>
      <c r="Y99" s="57">
        <f t="shared" si="131"/>
        <v>0</v>
      </c>
      <c r="Z99" s="57">
        <f t="shared" si="131"/>
        <v>0</v>
      </c>
      <c r="AA99" s="57">
        <f t="shared" si="131"/>
        <v>0</v>
      </c>
      <c r="AB99" s="57">
        <f t="shared" si="131"/>
        <v>-21000000</v>
      </c>
      <c r="AC99" s="57">
        <f t="shared" si="131"/>
        <v>0</v>
      </c>
      <c r="AD99" s="57">
        <f t="shared" si="131"/>
        <v>0</v>
      </c>
      <c r="AE99" s="57">
        <f t="shared" si="131"/>
        <v>0</v>
      </c>
      <c r="AF99" s="57">
        <f t="shared" si="131"/>
        <v>0</v>
      </c>
      <c r="AG99" s="57">
        <f t="shared" si="131"/>
        <v>0</v>
      </c>
      <c r="AH99" s="57">
        <f t="shared" si="131"/>
        <v>0</v>
      </c>
      <c r="AI99" s="57">
        <f t="shared" si="131"/>
        <v>-54700000</v>
      </c>
      <c r="AJ99" s="77"/>
      <c r="AK99" s="77"/>
      <c r="AL99" s="63"/>
      <c r="AM99" s="63"/>
      <c r="AN99" s="63"/>
      <c r="AO99" s="63"/>
      <c r="AP99" s="63"/>
      <c r="AQ99" s="63"/>
      <c r="AR99" s="63"/>
      <c r="AS99" s="63"/>
      <c r="AT99" s="63"/>
      <c r="AU99" s="63"/>
      <c r="AV99" s="63"/>
      <c r="AW99" s="63"/>
      <c r="AX99" s="63"/>
    </row>
    <row r="100" spans="1:50" s="64" customFormat="1" ht="12.75" customHeight="1" x14ac:dyDescent="0.15">
      <c r="A100" s="58" t="s">
        <v>240</v>
      </c>
      <c r="B100" s="59"/>
      <c r="C100" s="59" t="s">
        <v>241</v>
      </c>
      <c r="D100" s="59"/>
      <c r="E100" s="59"/>
      <c r="F100" s="59"/>
      <c r="G100" s="59"/>
      <c r="H100" s="59"/>
      <c r="I100" s="59"/>
      <c r="J100" s="57"/>
      <c r="K100" s="57"/>
      <c r="L100" s="57"/>
      <c r="M100" s="57"/>
      <c r="N100" s="76">
        <f t="shared" si="132"/>
        <v>12200000</v>
      </c>
      <c r="O100" s="57">
        <f t="shared" si="131"/>
        <v>0</v>
      </c>
      <c r="P100" s="57">
        <f t="shared" si="131"/>
        <v>0</v>
      </c>
      <c r="Q100" s="57">
        <f t="shared" si="131"/>
        <v>0</v>
      </c>
      <c r="R100" s="57">
        <f t="shared" si="131"/>
        <v>0</v>
      </c>
      <c r="S100" s="57">
        <f t="shared" si="131"/>
        <v>0</v>
      </c>
      <c r="T100" s="57">
        <f t="shared" si="131"/>
        <v>0</v>
      </c>
      <c r="U100" s="57">
        <f t="shared" si="131"/>
        <v>-10000000</v>
      </c>
      <c r="V100" s="57">
        <f t="shared" si="131"/>
        <v>0</v>
      </c>
      <c r="W100" s="57">
        <f t="shared" si="131"/>
        <v>0</v>
      </c>
      <c r="X100" s="57">
        <f t="shared" si="131"/>
        <v>0</v>
      </c>
      <c r="Y100" s="57">
        <f t="shared" si="131"/>
        <v>0</v>
      </c>
      <c r="Z100" s="57">
        <f t="shared" si="131"/>
        <v>0</v>
      </c>
      <c r="AA100" s="57">
        <f t="shared" si="131"/>
        <v>0</v>
      </c>
      <c r="AB100" s="57">
        <f t="shared" si="131"/>
        <v>0</v>
      </c>
      <c r="AC100" s="57">
        <f t="shared" si="131"/>
        <v>0</v>
      </c>
      <c r="AD100" s="57">
        <f t="shared" si="131"/>
        <v>0</v>
      </c>
      <c r="AE100" s="57">
        <f t="shared" si="131"/>
        <v>0</v>
      </c>
      <c r="AF100" s="57">
        <f t="shared" si="131"/>
        <v>0</v>
      </c>
      <c r="AG100" s="57">
        <f t="shared" si="131"/>
        <v>0</v>
      </c>
      <c r="AH100" s="57">
        <f t="shared" si="131"/>
        <v>0</v>
      </c>
      <c r="AI100" s="57">
        <f t="shared" si="131"/>
        <v>2200000</v>
      </c>
      <c r="AJ100" s="77"/>
      <c r="AK100" s="77"/>
      <c r="AL100" s="63"/>
      <c r="AM100" s="63"/>
      <c r="AN100" s="63"/>
      <c r="AO100" s="63"/>
      <c r="AP100" s="63"/>
      <c r="AQ100" s="63"/>
      <c r="AR100" s="63"/>
      <c r="AS100" s="63"/>
      <c r="AT100" s="63"/>
      <c r="AU100" s="63"/>
      <c r="AV100" s="63"/>
      <c r="AW100" s="63"/>
      <c r="AX100" s="63"/>
    </row>
  </sheetData>
  <autoFilter ref="A12:BC100" xr:uid="{00000000-0009-0000-0000-00001A000000}"/>
  <mergeCells count="45">
    <mergeCell ref="A3:AI3"/>
    <mergeCell ref="A5:I7"/>
    <mergeCell ref="J5:P5"/>
    <mergeCell ref="Q5:W5"/>
    <mergeCell ref="X5:AD5"/>
    <mergeCell ref="AE5:AK5"/>
    <mergeCell ref="J6:N6"/>
    <mergeCell ref="O6:O7"/>
    <mergeCell ref="P6:P7"/>
    <mergeCell ref="Q6:U6"/>
    <mergeCell ref="AJ6:AJ7"/>
    <mergeCell ref="AK6:AK7"/>
    <mergeCell ref="A8:I8"/>
    <mergeCell ref="A10:A12"/>
    <mergeCell ref="B10:B12"/>
    <mergeCell ref="C10:C12"/>
    <mergeCell ref="D10:D12"/>
    <mergeCell ref="E10:E12"/>
    <mergeCell ref="F10:I10"/>
    <mergeCell ref="J10:P10"/>
    <mergeCell ref="V6:V7"/>
    <mergeCell ref="W6:W7"/>
    <mergeCell ref="X6:AB6"/>
    <mergeCell ref="AC6:AC7"/>
    <mergeCell ref="AD6:AD7"/>
    <mergeCell ref="AE6:AI6"/>
    <mergeCell ref="Q10:W10"/>
    <mergeCell ref="X10:AD10"/>
    <mergeCell ref="AE10:AK10"/>
    <mergeCell ref="F11:F12"/>
    <mergeCell ref="G11:G12"/>
    <mergeCell ref="H11:H12"/>
    <mergeCell ref="I11:I12"/>
    <mergeCell ref="J11:N11"/>
    <mergeCell ref="O11:O12"/>
    <mergeCell ref="P11:P12"/>
    <mergeCell ref="AE11:AI11"/>
    <mergeCell ref="AJ11:AJ12"/>
    <mergeCell ref="AK11:AK12"/>
    <mergeCell ref="Q11:U11"/>
    <mergeCell ref="V11:V12"/>
    <mergeCell ref="W11:W12"/>
    <mergeCell ref="X11:AB11"/>
    <mergeCell ref="AC11:AC12"/>
    <mergeCell ref="AD11:AD12"/>
  </mergeCells>
  <conditionalFormatting sqref="A20">
    <cfRule type="duplicateValues" dxfId="10" priority="11"/>
  </conditionalFormatting>
  <conditionalFormatting sqref="A26">
    <cfRule type="duplicateValues" dxfId="9" priority="10"/>
  </conditionalFormatting>
  <conditionalFormatting sqref="A34">
    <cfRule type="duplicateValues" dxfId="8" priority="9"/>
  </conditionalFormatting>
  <conditionalFormatting sqref="A44">
    <cfRule type="duplicateValues" dxfId="7" priority="8"/>
  </conditionalFormatting>
  <conditionalFormatting sqref="A53">
    <cfRule type="duplicateValues" dxfId="6" priority="7"/>
  </conditionalFormatting>
  <conditionalFormatting sqref="A60">
    <cfRule type="duplicateValues" dxfId="5" priority="6"/>
  </conditionalFormatting>
  <conditionalFormatting sqref="A69">
    <cfRule type="duplicateValues" dxfId="4" priority="5"/>
  </conditionalFormatting>
  <conditionalFormatting sqref="A78">
    <cfRule type="duplicateValues" dxfId="3" priority="4"/>
  </conditionalFormatting>
  <conditionalFormatting sqref="B3:B4">
    <cfRule type="duplicateValues" dxfId="2" priority="2"/>
  </conditionalFormatting>
  <conditionalFormatting sqref="B93:B100">
    <cfRule type="duplicateValues" dxfId="1" priority="1"/>
  </conditionalFormatting>
  <conditionalFormatting sqref="B101:B1048576 B79:B92 B10:B13">
    <cfRule type="duplicateValues" dxfId="0" priority="3"/>
  </conditionalFormatting>
  <pageMargins left="0.17" right="0.17" top="0.17" bottom="0.17" header="0.3" footer="0.17"/>
  <pageSetup scale="50" orientation="landscape" horizontalDpi="1200" verticalDpi="12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Quý 3,2025</vt:lpstr>
      <vt:lpstr>'Quý 3,2025'!Print_Area</vt:lpstr>
      <vt:lpstr>'Quý 3,2025'!Print_Titles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Tran</cp:lastModifiedBy>
  <dcterms:created xsi:type="dcterms:W3CDTF">2025-08-27T02:11:37Z</dcterms:created>
  <dcterms:modified xsi:type="dcterms:W3CDTF">2025-08-27T09:29:10Z</dcterms:modified>
</cp:coreProperties>
</file>