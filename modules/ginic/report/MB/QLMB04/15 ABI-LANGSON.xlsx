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bipha\Python\abipha_dms\nhan_su\MB\QLMB04\"/>
    </mc:Choice>
  </mc:AlternateContent>
  <xr:revisionPtr revIDLastSave="0" documentId="13_ncr:1_{8FC6BE67-FC57-4916-878B-4971B6ECE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R3" i="1"/>
  <c r="P4" i="1"/>
  <c r="R4" i="1"/>
  <c r="P5" i="1"/>
  <c r="R5" i="1"/>
  <c r="P6" i="1"/>
  <c r="R6" i="1"/>
  <c r="P7" i="1"/>
  <c r="R7" i="1"/>
  <c r="P8" i="1"/>
  <c r="R8" i="1"/>
  <c r="P9" i="1"/>
  <c r="R9" i="1"/>
  <c r="P10" i="1"/>
  <c r="R10" i="1"/>
  <c r="P11" i="1"/>
  <c r="R11" i="1"/>
  <c r="P12" i="1"/>
  <c r="R12" i="1"/>
  <c r="P13" i="1"/>
  <c r="R13" i="1"/>
  <c r="P14" i="1"/>
  <c r="R14" i="1"/>
  <c r="P15" i="1"/>
  <c r="R15" i="1"/>
  <c r="P16" i="1"/>
  <c r="R16" i="1"/>
  <c r="P17" i="1"/>
  <c r="R17" i="1"/>
  <c r="P18" i="1"/>
  <c r="R18" i="1"/>
  <c r="P19" i="1"/>
  <c r="R19" i="1"/>
  <c r="P20" i="1"/>
  <c r="R20" i="1"/>
  <c r="P21" i="1"/>
  <c r="R21" i="1"/>
  <c r="P22" i="1"/>
  <c r="R22" i="1"/>
  <c r="P23" i="1"/>
  <c r="R23" i="1"/>
  <c r="P24" i="1"/>
  <c r="R24" i="1"/>
  <c r="P25" i="1"/>
  <c r="R25" i="1"/>
  <c r="P26" i="1"/>
  <c r="R26" i="1"/>
  <c r="P27" i="1"/>
  <c r="R27" i="1"/>
  <c r="P28" i="1"/>
  <c r="R28" i="1"/>
  <c r="P29" i="1"/>
  <c r="R29" i="1"/>
  <c r="P30" i="1"/>
  <c r="R30" i="1"/>
  <c r="P31" i="1"/>
  <c r="R31" i="1"/>
  <c r="P32" i="1"/>
  <c r="R32" i="1"/>
  <c r="P33" i="1"/>
  <c r="R33" i="1"/>
  <c r="P34" i="1"/>
  <c r="R34" i="1"/>
  <c r="P35" i="1"/>
  <c r="R35" i="1"/>
  <c r="P36" i="1"/>
  <c r="R36" i="1"/>
  <c r="P37" i="1"/>
  <c r="R37" i="1"/>
  <c r="P38" i="1"/>
  <c r="R38" i="1"/>
  <c r="P39" i="1"/>
  <c r="R39" i="1"/>
  <c r="P40" i="1"/>
  <c r="R40" i="1"/>
  <c r="P41" i="1"/>
  <c r="R41" i="1"/>
  <c r="P42" i="1"/>
  <c r="R42" i="1"/>
  <c r="P43" i="1"/>
  <c r="R43" i="1"/>
  <c r="P44" i="1"/>
  <c r="R44" i="1"/>
  <c r="P45" i="1"/>
  <c r="R45" i="1"/>
  <c r="P46" i="1"/>
  <c r="R46" i="1"/>
  <c r="P47" i="1"/>
  <c r="R47" i="1"/>
  <c r="P48" i="1"/>
  <c r="R48" i="1"/>
  <c r="P49" i="1"/>
  <c r="R49" i="1"/>
  <c r="P50" i="1"/>
  <c r="R50" i="1"/>
  <c r="P51" i="1"/>
  <c r="R51" i="1"/>
  <c r="P52" i="1"/>
  <c r="R52" i="1"/>
  <c r="P53" i="1"/>
  <c r="R53" i="1"/>
  <c r="P54" i="1"/>
  <c r="R54" i="1"/>
  <c r="P55" i="1"/>
  <c r="R55" i="1"/>
  <c r="P56" i="1"/>
  <c r="R56" i="1"/>
  <c r="P57" i="1"/>
  <c r="R57" i="1"/>
  <c r="P58" i="1"/>
  <c r="R58" i="1"/>
  <c r="P59" i="1"/>
  <c r="R59" i="1"/>
  <c r="P60" i="1"/>
  <c r="R60" i="1"/>
  <c r="P61" i="1"/>
  <c r="R61" i="1"/>
  <c r="P62" i="1"/>
  <c r="R62" i="1"/>
  <c r="P63" i="1"/>
  <c r="R63" i="1"/>
  <c r="P64" i="1"/>
  <c r="R64" i="1"/>
  <c r="P65" i="1"/>
  <c r="R65" i="1"/>
  <c r="P66" i="1"/>
  <c r="R66" i="1"/>
  <c r="P67" i="1"/>
  <c r="R67" i="1"/>
  <c r="P68" i="1"/>
  <c r="R68" i="1"/>
  <c r="P69" i="1"/>
  <c r="R69" i="1"/>
  <c r="P70" i="1"/>
  <c r="R70" i="1"/>
  <c r="P71" i="1"/>
  <c r="R71" i="1"/>
  <c r="P72" i="1"/>
  <c r="R72" i="1"/>
  <c r="P73" i="1"/>
  <c r="R73" i="1"/>
  <c r="P74" i="1"/>
  <c r="R74" i="1"/>
  <c r="P75" i="1"/>
  <c r="R75" i="1"/>
  <c r="P76" i="1"/>
  <c r="R76" i="1"/>
  <c r="P77" i="1"/>
  <c r="R77" i="1"/>
  <c r="P78" i="1"/>
  <c r="R78" i="1"/>
  <c r="P79" i="1"/>
  <c r="R79" i="1"/>
  <c r="P80" i="1"/>
  <c r="R80" i="1"/>
  <c r="P81" i="1"/>
  <c r="R81" i="1"/>
  <c r="P82" i="1"/>
  <c r="R82" i="1"/>
  <c r="P83" i="1"/>
  <c r="R83" i="1"/>
  <c r="P84" i="1"/>
  <c r="R84" i="1"/>
  <c r="P85" i="1"/>
  <c r="R85" i="1"/>
  <c r="P86" i="1"/>
  <c r="R86" i="1"/>
  <c r="P87" i="1"/>
  <c r="R87" i="1"/>
  <c r="P88" i="1"/>
  <c r="R88" i="1"/>
  <c r="P89" i="1"/>
  <c r="R89" i="1"/>
  <c r="P90" i="1"/>
  <c r="R90" i="1"/>
  <c r="P91" i="1"/>
  <c r="R91" i="1"/>
  <c r="P92" i="1"/>
  <c r="R92" i="1"/>
  <c r="P93" i="1"/>
  <c r="R93" i="1"/>
  <c r="P94" i="1"/>
  <c r="R94" i="1"/>
  <c r="P95" i="1"/>
  <c r="R95" i="1"/>
  <c r="P96" i="1"/>
  <c r="R96" i="1"/>
  <c r="P97" i="1"/>
  <c r="R97" i="1"/>
  <c r="P98" i="1"/>
  <c r="R98" i="1"/>
  <c r="P99" i="1"/>
  <c r="R99" i="1"/>
  <c r="P100" i="1"/>
  <c r="R100" i="1"/>
  <c r="P101" i="1"/>
  <c r="R101" i="1"/>
  <c r="P102" i="1"/>
  <c r="R102" i="1"/>
  <c r="P103" i="1"/>
  <c r="R103" i="1"/>
  <c r="P104" i="1"/>
  <c r="R104" i="1"/>
  <c r="P105" i="1"/>
  <c r="R105" i="1"/>
  <c r="P106" i="1"/>
  <c r="R106" i="1"/>
  <c r="P107" i="1"/>
  <c r="R107" i="1"/>
  <c r="P108" i="1"/>
  <c r="R108" i="1"/>
  <c r="P109" i="1"/>
  <c r="R109" i="1"/>
  <c r="P110" i="1"/>
  <c r="R110" i="1"/>
  <c r="P111" i="1"/>
  <c r="R111" i="1"/>
  <c r="P112" i="1"/>
  <c r="R112" i="1"/>
  <c r="P113" i="1"/>
  <c r="R113" i="1"/>
  <c r="P114" i="1"/>
  <c r="R114" i="1"/>
  <c r="P115" i="1"/>
  <c r="R115" i="1"/>
  <c r="P116" i="1"/>
  <c r="R116" i="1"/>
  <c r="P117" i="1"/>
  <c r="R117" i="1"/>
  <c r="P118" i="1"/>
  <c r="R118" i="1"/>
  <c r="P119" i="1"/>
  <c r="R119" i="1"/>
  <c r="P120" i="1"/>
  <c r="R120" i="1"/>
  <c r="P121" i="1"/>
  <c r="R121" i="1"/>
  <c r="P122" i="1"/>
  <c r="R122" i="1"/>
  <c r="P123" i="1"/>
  <c r="R123" i="1"/>
  <c r="P124" i="1"/>
  <c r="R124" i="1"/>
  <c r="P125" i="1"/>
  <c r="R125" i="1"/>
  <c r="P126" i="1"/>
  <c r="R126" i="1"/>
  <c r="P127" i="1"/>
  <c r="R127" i="1"/>
  <c r="P128" i="1"/>
  <c r="R128" i="1"/>
  <c r="P129" i="1"/>
  <c r="R129" i="1"/>
  <c r="P130" i="1"/>
  <c r="R130" i="1"/>
  <c r="P131" i="1"/>
  <c r="R131" i="1"/>
  <c r="P132" i="1"/>
  <c r="R132" i="1"/>
  <c r="P133" i="1"/>
  <c r="R133" i="1"/>
  <c r="P134" i="1"/>
  <c r="R134" i="1"/>
  <c r="P135" i="1"/>
  <c r="R135" i="1"/>
  <c r="P136" i="1"/>
  <c r="R136" i="1"/>
  <c r="P137" i="1"/>
  <c r="R137" i="1"/>
  <c r="P138" i="1"/>
  <c r="R138" i="1"/>
  <c r="P139" i="1"/>
  <c r="R139" i="1"/>
  <c r="P140" i="1"/>
  <c r="R140" i="1"/>
  <c r="P141" i="1"/>
  <c r="R141" i="1"/>
  <c r="P142" i="1"/>
  <c r="R142" i="1"/>
  <c r="P143" i="1"/>
  <c r="R143" i="1"/>
  <c r="P144" i="1"/>
  <c r="R144" i="1"/>
  <c r="P145" i="1"/>
  <c r="R145" i="1"/>
  <c r="P146" i="1"/>
  <c r="R146" i="1"/>
  <c r="P147" i="1"/>
  <c r="R147" i="1"/>
  <c r="P148" i="1"/>
  <c r="R148" i="1"/>
  <c r="P149" i="1"/>
  <c r="R149" i="1"/>
  <c r="P150" i="1"/>
  <c r="R150" i="1"/>
  <c r="P151" i="1"/>
  <c r="R151" i="1"/>
  <c r="P152" i="1"/>
  <c r="R152" i="1"/>
  <c r="P153" i="1"/>
  <c r="R153" i="1"/>
  <c r="P154" i="1"/>
  <c r="R154" i="1"/>
  <c r="P155" i="1"/>
  <c r="R155" i="1"/>
  <c r="P156" i="1"/>
  <c r="R156" i="1"/>
  <c r="P157" i="1"/>
  <c r="R157" i="1"/>
  <c r="P158" i="1"/>
  <c r="R158" i="1"/>
  <c r="P159" i="1"/>
  <c r="R159" i="1"/>
  <c r="P160" i="1"/>
  <c r="R160" i="1"/>
  <c r="P161" i="1"/>
  <c r="R161" i="1"/>
  <c r="P162" i="1"/>
  <c r="R162" i="1"/>
  <c r="P163" i="1"/>
  <c r="R163" i="1"/>
  <c r="P164" i="1"/>
  <c r="R164" i="1"/>
  <c r="P165" i="1"/>
  <c r="R165" i="1"/>
  <c r="P166" i="1"/>
  <c r="R166" i="1"/>
  <c r="P167" i="1"/>
  <c r="R167" i="1"/>
  <c r="P168" i="1"/>
  <c r="R168" i="1"/>
  <c r="P169" i="1"/>
  <c r="R169" i="1"/>
  <c r="P170" i="1"/>
  <c r="R170" i="1"/>
  <c r="P171" i="1"/>
  <c r="R171" i="1"/>
  <c r="P172" i="1"/>
  <c r="R172" i="1"/>
  <c r="P173" i="1"/>
  <c r="R173" i="1"/>
  <c r="P174" i="1"/>
  <c r="R174" i="1"/>
  <c r="P175" i="1"/>
  <c r="R175" i="1"/>
  <c r="P176" i="1"/>
  <c r="R176" i="1"/>
  <c r="P177" i="1"/>
  <c r="R177" i="1"/>
  <c r="P178" i="1"/>
  <c r="R178" i="1"/>
  <c r="P179" i="1"/>
  <c r="R179" i="1"/>
  <c r="P180" i="1"/>
  <c r="R180" i="1"/>
  <c r="P181" i="1"/>
  <c r="R181" i="1"/>
  <c r="P182" i="1"/>
  <c r="R182" i="1"/>
  <c r="P183" i="1"/>
  <c r="R183" i="1"/>
  <c r="P184" i="1"/>
  <c r="R184" i="1"/>
  <c r="P185" i="1"/>
  <c r="R185" i="1"/>
  <c r="P186" i="1"/>
  <c r="R186" i="1"/>
  <c r="P187" i="1"/>
  <c r="R187" i="1"/>
  <c r="P188" i="1"/>
  <c r="R188" i="1"/>
  <c r="P189" i="1"/>
  <c r="R189" i="1"/>
  <c r="P190" i="1"/>
  <c r="R190" i="1"/>
  <c r="P191" i="1"/>
  <c r="R191" i="1"/>
  <c r="P192" i="1"/>
  <c r="R192" i="1"/>
  <c r="P193" i="1"/>
  <c r="R193" i="1"/>
  <c r="P194" i="1"/>
  <c r="R194" i="1"/>
  <c r="P195" i="1"/>
  <c r="R195" i="1"/>
  <c r="P196" i="1"/>
  <c r="R196" i="1"/>
  <c r="P197" i="1"/>
  <c r="R197" i="1"/>
  <c r="P198" i="1"/>
  <c r="R198" i="1"/>
  <c r="P199" i="1"/>
  <c r="R199" i="1"/>
  <c r="P200" i="1"/>
  <c r="R200" i="1"/>
  <c r="P201" i="1"/>
  <c r="R201" i="1"/>
  <c r="P202" i="1"/>
  <c r="R202" i="1"/>
  <c r="P203" i="1"/>
  <c r="R203" i="1"/>
  <c r="P204" i="1"/>
  <c r="R204" i="1"/>
  <c r="P205" i="1"/>
  <c r="R205" i="1"/>
  <c r="P206" i="1"/>
  <c r="R206" i="1"/>
  <c r="P207" i="1"/>
  <c r="R207" i="1"/>
  <c r="P208" i="1"/>
  <c r="R208" i="1"/>
  <c r="R2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" i="1"/>
</calcChain>
</file>

<file path=xl/sharedStrings.xml><?xml version="1.0" encoding="utf-8"?>
<sst xmlns="http://schemas.openxmlformats.org/spreadsheetml/2006/main" count="3023" uniqueCount="936">
  <si>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</si>
  <si>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</si>
  <si>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</si>
  <si>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</si>
  <si>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</si>
  <si>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</si>
  <si>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</si>
  <si>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</si>
  <si>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</si>
  <si>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</si>
  <si>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</si>
  <si>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CN DƯỢC LẠNG SƠN</t>
  </si>
  <si>
    <t>HT BẮC SƠN</t>
  </si>
  <si>
    <t>HT VĂN LÃNG (HUỆ)</t>
  </si>
  <si>
    <t>HT VĂN LÃNG (LIÊN)</t>
  </si>
  <si>
    <t>NHÀ THUỐC MỸ SƠN</t>
  </si>
  <si>
    <t>NT 137 NGUYỄN THỊ OANH</t>
  </si>
  <si>
    <t>NT 140 VI THỊ ĐẸP</t>
  </si>
  <si>
    <t>NT 149 TRẦN TUYẾT MAI</t>
  </si>
  <si>
    <t>NT 165 LÊ HỒNG PHONG</t>
  </si>
  <si>
    <t>NT 18 HOÀNG VĂN SÁY</t>
  </si>
  <si>
    <t>NT 207 TRẦN ĐĂNG NINH</t>
  </si>
  <si>
    <t>NT 26 TAM THANH</t>
  </si>
  <si>
    <t>NT 2 NGUYỄN DU</t>
  </si>
  <si>
    <t>NT 522 NGUYỄN BÍCH THỦY</t>
  </si>
  <si>
    <t>NT 52A HUY ĐỊNH</t>
  </si>
  <si>
    <t>NT 52B TRẦN ĐĂNG NINH</t>
  </si>
  <si>
    <t>NT 726 ĐỖ THỊ MẾN</t>
  </si>
  <si>
    <t>NT 85 TRẦN ĐĂNG NINH</t>
  </si>
  <si>
    <t>NT 98 BẠCH TUYẾT</t>
  </si>
  <si>
    <t>NT AN ĐỊNH</t>
  </si>
  <si>
    <t>NT ÁNH NGUYỆT</t>
  </si>
  <si>
    <t>NT BÁCH HỘI</t>
  </si>
  <si>
    <t>NT BẢO KHÁNH</t>
  </si>
  <si>
    <t>NT BÌNH NGÂN</t>
  </si>
  <si>
    <t>NT BÌNH PHƯƠNG</t>
  </si>
  <si>
    <t>NT CÔNG TÂM</t>
  </si>
  <si>
    <t>NT ĐÀO DŨNG</t>
  </si>
  <si>
    <t>NT ĐA PHÚC</t>
  </si>
  <si>
    <t>NT DH 2 PHẠM MAI DIỆP</t>
  </si>
  <si>
    <t>NT DH LƯƠNG THỊ HUỆ</t>
  </si>
  <si>
    <t>NT ĐỊNH HÒA</t>
  </si>
  <si>
    <t>NT DOANH NGHIỆP 53</t>
  </si>
  <si>
    <t>NT GIA HUY</t>
  </si>
  <si>
    <t>NT GIA KHÁNH</t>
  </si>
  <si>
    <t>NT HẢI HÀ 2</t>
  </si>
  <si>
    <t>NT HẢO HẢO (ĐÔNG KINH)</t>
  </si>
  <si>
    <t>NT HẢO HẢO (TRẦN ĐĂNG NINH)</t>
  </si>
  <si>
    <t>NT HIỀN MINH</t>
  </si>
  <si>
    <t>NT HIỀN PHÚC</t>
  </si>
  <si>
    <t>NT HOÀNG ĐỨC</t>
  </si>
  <si>
    <t>NT HOÀNG THỊ PHƯỢNG</t>
  </si>
  <si>
    <t>NT HỒNG VÂN</t>
  </si>
  <si>
    <t>NT HƯƠNG QUỲNH</t>
  </si>
  <si>
    <t>NT HUYỀN TRANG</t>
  </si>
  <si>
    <t>NT LINH ANH</t>
  </si>
  <si>
    <t>NT LONG THUẬN</t>
  </si>
  <si>
    <t>NT LÝ THỊ LÂM</t>
  </si>
  <si>
    <t>NT MAI HƯƠNG</t>
  </si>
  <si>
    <t>NT MAI THẢO NGUYÊN</t>
  </si>
  <si>
    <t>NT MINH ĐỨC</t>
  </si>
  <si>
    <t>NT NGỌC BẢO</t>
  </si>
  <si>
    <t>NT NGỌC LY</t>
  </si>
  <si>
    <t>NT NHẬT MINH</t>
  </si>
  <si>
    <t>NT PHÙNG VÂN</t>
  </si>
  <si>
    <t>NT PHƯƠNG DUNG</t>
  </si>
  <si>
    <t>NT PHƯƠNG THẢO</t>
  </si>
  <si>
    <t>NT TÂM (TP LẠNG SƠN)</t>
  </si>
  <si>
    <t>NT TÂN TIẾN</t>
  </si>
  <si>
    <t>NT THÁI BÌNH</t>
  </si>
  <si>
    <t>NT THÀNH CÔNG</t>
  </si>
  <si>
    <t>NT THÀNH ĐẠT (XÃ YÊN BÌNH)</t>
  </si>
  <si>
    <t>NT THANH HẰNG</t>
  </si>
  <si>
    <t>NT THANH HƯỜNG</t>
  </si>
  <si>
    <t>NT THANH THẢO</t>
  </si>
  <si>
    <t>NT THANH THỦY</t>
  </si>
  <si>
    <t>NT THẢO ANH</t>
  </si>
  <si>
    <t>NT THU THẢO</t>
  </si>
  <si>
    <t>NT THÙY LINH</t>
  </si>
  <si>
    <t>NT TIẾN ĐẠT</t>
  </si>
  <si>
    <t>NT TRẦN THANH HẢI</t>
  </si>
  <si>
    <t>NT TRƯỜNG THỌ 1</t>
  </si>
  <si>
    <t>NT TRƯỜNG THỌ 2</t>
  </si>
  <si>
    <t>NT TRƯỜNG THỌ 3</t>
  </si>
  <si>
    <t>NT TRƯỜNG THỌ 5</t>
  </si>
  <si>
    <t>NT TUẤN DUYÊN</t>
  </si>
  <si>
    <t>NT VẠN PHÚC</t>
  </si>
  <si>
    <t>NT VẠN TÂM AN 2 (H. CAO LỘC)</t>
  </si>
  <si>
    <t>NT VẠN TÂM AN (TP LẠNG SƠN)</t>
  </si>
  <si>
    <t>NT VÂN TƯỚC</t>
  </si>
  <si>
    <t>NT VIỆT MÔNG CỔ</t>
  </si>
  <si>
    <t>NT VI MAI</t>
  </si>
  <si>
    <t>PK NỘI VƯƠNG VĂN CƯỜNG</t>
  </si>
  <si>
    <t>PK TRẦN VĂN XUÂN</t>
  </si>
  <si>
    <t>QT 01 ĐÀO THỊ BÍCH</t>
  </si>
  <si>
    <t>QT 10 LÀNH THỊ THƯỞNG</t>
  </si>
  <si>
    <t>QT 127A BÙI THỊ THỦY</t>
  </si>
  <si>
    <t>QT 127 NGUYỄN XUÂN AN</t>
  </si>
  <si>
    <t>QT 13 HOÀNG YẾN</t>
  </si>
  <si>
    <t>QT 15 HOÀNG THỊ THANH</t>
  </si>
  <si>
    <t>QT 197 NÔNG NGỌC KHÔI</t>
  </si>
  <si>
    <t>QT 1 YÊN THỊNH</t>
  </si>
  <si>
    <t>QT 24 HOÀNG THỊ PÉM</t>
  </si>
  <si>
    <t>QT 27 HOÀNG THỊ ĐỊNH</t>
  </si>
  <si>
    <t>QT 28 VI THỊ ĐIỆP</t>
  </si>
  <si>
    <t>QT 34 HOÀNG HẢI MAI</t>
  </si>
  <si>
    <t>QT 40 NÔNG VĂN CHIẾN</t>
  </si>
  <si>
    <t>QT 43 VI THỊ ĐẬU</t>
  </si>
  <si>
    <t>QT 489 HÀ THỊ CÚC</t>
  </si>
  <si>
    <t>QT 51 NÔNG THỊ TUYẾT LAN</t>
  </si>
  <si>
    <t>QT 52 LỘC THỊ DUYÊN</t>
  </si>
  <si>
    <t>QT 6 ĐỖ THỊ HÀ TRANG</t>
  </si>
  <si>
    <t>QT 80A HOÀNG THỊ LAN</t>
  </si>
  <si>
    <t>QT 89 NỘNG THỊ ÁNH NGỌC</t>
  </si>
  <si>
    <t>QT ÁNH NHƯ</t>
  </si>
  <si>
    <t>QT BỆNH VIỆN BẮC SƠN</t>
  </si>
  <si>
    <t>QT BIÊN AN</t>
  </si>
  <si>
    <t>QT BIÊN THỊNH</t>
  </si>
  <si>
    <t>QT BÌNH MINH</t>
  </si>
  <si>
    <t>QT CHÍ THÙY</t>
  </si>
  <si>
    <t>QT CHUNG HƯNG</t>
  </si>
  <si>
    <t>QT ĐẶNG HƯƠNG</t>
  </si>
  <si>
    <t>QT ĐINH THỊ HẠNH</t>
  </si>
  <si>
    <t>QT ĐOÀN THI</t>
  </si>
  <si>
    <t>QT ĐÔNG NHI</t>
  </si>
  <si>
    <t>QT ĐỒNG VĂN VƯỢNG II (XÃ YÊN VƯỢNG)</t>
  </si>
  <si>
    <t>QT ĐỒNG VĂN VƯỢNG (XÃ ĐỒNG TÂN)</t>
  </si>
  <si>
    <t>QT DŨNG THỦY</t>
  </si>
  <si>
    <t>QT DƯƠNG HƯƠNG</t>
  </si>
  <si>
    <t>QT DƯƠNG THỊ MÂY</t>
  </si>
  <si>
    <t>QT GIA CHINH</t>
  </si>
  <si>
    <t>QT HẢI HÀ</t>
  </si>
  <si>
    <t>QT HẢI THẢO</t>
  </si>
  <si>
    <t>QT HẢI YẾN</t>
  </si>
  <si>
    <t>QT HẠNH NGUYÊN</t>
  </si>
  <si>
    <t>QT HẢO HUỆ</t>
  </si>
  <si>
    <t>QT HÀ THIỆN QUANG</t>
  </si>
  <si>
    <t>QT HÀ THỊ SỰ</t>
  </si>
  <si>
    <t>QT HÀ THỊ  XUÂN</t>
  </si>
  <si>
    <t>QT HIỀN CHUNG</t>
  </si>
  <si>
    <t>QT HIỆP ĐÔ</t>
  </si>
  <si>
    <t>QT HOÀNG CHUNG</t>
  </si>
  <si>
    <t>QT HOÀNG HẠNH</t>
  </si>
  <si>
    <t>QT HOÀNG HOẠT</t>
  </si>
  <si>
    <t>QT HỒNG CHIÊM</t>
  </si>
  <si>
    <t>QT HÔNG HẠNH</t>
  </si>
  <si>
    <t>QT HỒNG HẠNH</t>
  </si>
  <si>
    <t>QT HỒNG NHUNG</t>
  </si>
  <si>
    <t>QT HỒNG YẾN</t>
  </si>
  <si>
    <t>QT KIM CÚC</t>
  </si>
  <si>
    <t>QT KIM THANH</t>
  </si>
  <si>
    <t>QT LAN HƯƠNG</t>
  </si>
  <si>
    <t>QT LAN THƯỚC</t>
  </si>
  <si>
    <t>QT LƯỜNG THỊ XIÊM</t>
  </si>
  <si>
    <t>QT MAI ANH</t>
  </si>
  <si>
    <t>QT MAI HƯNG</t>
  </si>
  <si>
    <t>QT MAI HƯƠNG</t>
  </si>
  <si>
    <t>QT MINH DẬU</t>
  </si>
  <si>
    <t>QT MINH HUỆ</t>
  </si>
  <si>
    <t>QT MINH NHẬT</t>
  </si>
  <si>
    <t>QT MINH OANH</t>
  </si>
  <si>
    <t>QT MINH PHÚC</t>
  </si>
  <si>
    <t>QT NGỌC DIỆP</t>
  </si>
  <si>
    <t>QT NGỌC HẰNG</t>
  </si>
  <si>
    <t>QT NGUYỄN LINH</t>
  </si>
  <si>
    <t>QT NGUYỄN THỊ HÀ</t>
  </si>
  <si>
    <t>QT NGUYỄN THỊ KHUYÊN</t>
  </si>
  <si>
    <t>QT NINH THỊ GIỚI</t>
  </si>
  <si>
    <t>QT NÔNG THỊ LIÊN</t>
  </si>
  <si>
    <t>QT NÔNG THỊ TỪ</t>
  </si>
  <si>
    <t>QT PHONG HẰNG</t>
  </si>
  <si>
    <t>QT PHÚC AN 2 (SƠN HÀ)</t>
  </si>
  <si>
    <t>QT PHÚC TÂM</t>
  </si>
  <si>
    <t>QT PHƯƠNG BẮC 2 (KHU AN NINH)</t>
  </si>
  <si>
    <t>QT PHƯƠNG THẢO</t>
  </si>
  <si>
    <t>QT QUYỀN LINH</t>
  </si>
  <si>
    <t>QT SEN VIỆT</t>
  </si>
  <si>
    <t>QT TÂM PHÚC</t>
  </si>
  <si>
    <t>QT TÂN HẰNG</t>
  </si>
  <si>
    <t>QT THÀNH ĐẠT</t>
  </si>
  <si>
    <t>QT THÀNH ĐẠT 2 (XÃ NHẬT TIẾN)</t>
  </si>
  <si>
    <t>QT THANH HẰNG</t>
  </si>
  <si>
    <t>QT THANH HOA</t>
  </si>
  <si>
    <t>QT THANH HƯƠNG</t>
  </si>
  <si>
    <t>QT THANH HƯỜNG</t>
  </si>
  <si>
    <t>QT THÀNH LONG</t>
  </si>
  <si>
    <t>QT THANH NGÀ</t>
  </si>
  <si>
    <t>QT THANH NGUYÊN</t>
  </si>
  <si>
    <t>QT THANH TÂM (H. VĂN QUAN)</t>
  </si>
  <si>
    <t>QT THANH THÚY</t>
  </si>
  <si>
    <t>QT THANH TRÚC</t>
  </si>
  <si>
    <t>QT THANH TUYỀN</t>
  </si>
  <si>
    <t>QT THẢO NGUYÊN</t>
  </si>
  <si>
    <t>QT THU HÀ</t>
  </si>
  <si>
    <t>QT THU HƯỜNG (X. ĐỒNG TÂM)</t>
  </si>
  <si>
    <t>QT THU HƯỜNG (X. VÂN NHAM)</t>
  </si>
  <si>
    <t>QT THU HUYỀN</t>
  </si>
  <si>
    <t>QT THU NGUYỆT</t>
  </si>
  <si>
    <t>QT THƯƠNG NGÀ</t>
  </si>
  <si>
    <t>QT THU THỦY</t>
  </si>
  <si>
    <t>QT THÙY ANH</t>
  </si>
  <si>
    <t>QT THÙY NHUNG</t>
  </si>
  <si>
    <t>QT TÔ THỊ THÙY</t>
  </si>
  <si>
    <t>QT TRANG NGÂN</t>
  </si>
  <si>
    <t>QT TRẦN THỊ NGOAN</t>
  </si>
  <si>
    <t>QT TUẤN HƯỜNG</t>
  </si>
  <si>
    <t>QT TUẤN MƠ</t>
  </si>
  <si>
    <t>QT TUẤN NGHĨA</t>
  </si>
  <si>
    <t>QT TÙNG HUYỀN</t>
  </si>
  <si>
    <t>QT TUYẾT MAI</t>
  </si>
  <si>
    <t>QT VĂN HẰNG</t>
  </si>
  <si>
    <t>QT VĂN TRƯỜNG</t>
  </si>
  <si>
    <t>QT VI THỊ KHUYÊN</t>
  </si>
  <si>
    <t>QT VƯƠNG THÙY</t>
  </si>
  <si>
    <t>QT YÊN NGUYỆT</t>
  </si>
  <si>
    <t>Quầy thuốc số 34</t>
  </si>
  <si>
    <t>QY 59 VI CÔ AN</t>
  </si>
  <si>
    <t>Cửa hàng bán lẻ</t>
  </si>
  <si>
    <t>0966882777</t>
  </si>
  <si>
    <t>0979061712</t>
  </si>
  <si>
    <t>0357292953</t>
  </si>
  <si>
    <t>0394429263</t>
  </si>
  <si>
    <t>0977351158</t>
  </si>
  <si>
    <t>0835565388</t>
  </si>
  <si>
    <t>0815192468</t>
  </si>
  <si>
    <t>0912707888</t>
  </si>
  <si>
    <t>0915994491</t>
  </si>
  <si>
    <t>0986277794</t>
  </si>
  <si>
    <t>0912669322</t>
  </si>
  <si>
    <t>0942312658</t>
  </si>
  <si>
    <t>0904800983</t>
  </si>
  <si>
    <t>0945493828</t>
  </si>
  <si>
    <t>0983960388</t>
  </si>
  <si>
    <t>0972708298</t>
  </si>
  <si>
    <t>0985346290</t>
  </si>
  <si>
    <t>0988180484</t>
  </si>
  <si>
    <t>0968178680</t>
  </si>
  <si>
    <t>0942762686</t>
  </si>
  <si>
    <t>0964718626</t>
  </si>
  <si>
    <t>0397615361</t>
  </si>
  <si>
    <t>0981077985</t>
  </si>
  <si>
    <t>0982274430</t>
  </si>
  <si>
    <t>0399793333</t>
  </si>
  <si>
    <t>0986695182</t>
  </si>
  <si>
    <t>0328599823</t>
  </si>
  <si>
    <t>0984322111</t>
  </si>
  <si>
    <t>0912427055</t>
  </si>
  <si>
    <t>0965637788</t>
  </si>
  <si>
    <t>0986969135</t>
  </si>
  <si>
    <t>0985378113</t>
  </si>
  <si>
    <t>0987668588</t>
  </si>
  <si>
    <t>0375121985</t>
  </si>
  <si>
    <t>0979268866</t>
  </si>
  <si>
    <t>0394639522</t>
  </si>
  <si>
    <t>0986824999</t>
  </si>
  <si>
    <t>0376251068</t>
  </si>
  <si>
    <t>0945390488</t>
  </si>
  <si>
    <t>0397685204</t>
  </si>
  <si>
    <t>0398028186</t>
  </si>
  <si>
    <t>0353963157</t>
  </si>
  <si>
    <t>0982190966</t>
  </si>
  <si>
    <t>0836636338</t>
  </si>
  <si>
    <t>0396108666</t>
  </si>
  <si>
    <t>0915465088</t>
  </si>
  <si>
    <t>0915325123</t>
  </si>
  <si>
    <t>0916781146</t>
  </si>
  <si>
    <t>0985229888</t>
  </si>
  <si>
    <t>0963209432</t>
  </si>
  <si>
    <t>0973024081</t>
  </si>
  <si>
    <t>0942212819</t>
  </si>
  <si>
    <t>0989772267</t>
  </si>
  <si>
    <t>0969980643</t>
  </si>
  <si>
    <t>0383708458</t>
  </si>
  <si>
    <t>0945354899</t>
  </si>
  <si>
    <t>0813990662.2</t>
  </si>
  <si>
    <t>0985572698</t>
  </si>
  <si>
    <t>0974801656</t>
  </si>
  <si>
    <t>0912110199</t>
  </si>
  <si>
    <t>0366415019.1</t>
  </si>
  <si>
    <t>0356656639</t>
  </si>
  <si>
    <t>0365138215</t>
  </si>
  <si>
    <t>0984068026</t>
  </si>
  <si>
    <t>0917097765</t>
  </si>
  <si>
    <t>0917830896</t>
  </si>
  <si>
    <t>0987668705</t>
  </si>
  <si>
    <t>0853989333</t>
  </si>
  <si>
    <t>0982900619</t>
  </si>
  <si>
    <t>0367693196</t>
  </si>
  <si>
    <t>0982205368.1</t>
  </si>
  <si>
    <t>0982205368.2</t>
  </si>
  <si>
    <t>0982205368.3</t>
  </si>
  <si>
    <t>0982205368.4</t>
  </si>
  <si>
    <t>0362095721</t>
  </si>
  <si>
    <t>0989940858</t>
  </si>
  <si>
    <t>0965052228.2</t>
  </si>
  <si>
    <t>0965052228.1</t>
  </si>
  <si>
    <t>0384299183</t>
  </si>
  <si>
    <t>0869823821</t>
  </si>
  <si>
    <t>0912245797</t>
  </si>
  <si>
    <t>0912729809</t>
  </si>
  <si>
    <t>0979800473</t>
  </si>
  <si>
    <t>0949933232</t>
  </si>
  <si>
    <t>0359704603</t>
  </si>
  <si>
    <t>0934303111</t>
  </si>
  <si>
    <t>0966016111</t>
  </si>
  <si>
    <t>0915956166</t>
  </si>
  <si>
    <t>0378203789</t>
  </si>
  <si>
    <t>0971445683</t>
  </si>
  <si>
    <t>0376990938</t>
  </si>
  <si>
    <t>0972535336</t>
  </si>
  <si>
    <t>0989930800</t>
  </si>
  <si>
    <t>0943095025</t>
  </si>
  <si>
    <t>0989374473</t>
  </si>
  <si>
    <t>0978472816</t>
  </si>
  <si>
    <t>0968061857</t>
  </si>
  <si>
    <t>0918313229</t>
  </si>
  <si>
    <t>0384299263</t>
  </si>
  <si>
    <t>0987877442</t>
  </si>
  <si>
    <t>0975651886</t>
  </si>
  <si>
    <t>0987746983</t>
  </si>
  <si>
    <t>0388168880</t>
  </si>
  <si>
    <t>0965996000</t>
  </si>
  <si>
    <t>0984394123</t>
  </si>
  <si>
    <t>0969743593</t>
  </si>
  <si>
    <t>0962574988</t>
  </si>
  <si>
    <t>0363778858</t>
  </si>
  <si>
    <t>0977254103</t>
  </si>
  <si>
    <t>0982949810</t>
  </si>
  <si>
    <t>0978296922</t>
  </si>
  <si>
    <t>0967367383</t>
  </si>
  <si>
    <t>0388653414</t>
  </si>
  <si>
    <t>0367521469</t>
  </si>
  <si>
    <t>0989726358</t>
  </si>
  <si>
    <t>0989726357</t>
  </si>
  <si>
    <t>0973768689</t>
  </si>
  <si>
    <t>0985806760</t>
  </si>
  <si>
    <t>0359401683</t>
  </si>
  <si>
    <t>0975045906</t>
  </si>
  <si>
    <t>0913517126</t>
  </si>
  <si>
    <t>0816726907</t>
  </si>
  <si>
    <t>0985014929</t>
  </si>
  <si>
    <t>0963552989</t>
  </si>
  <si>
    <t>0988461825</t>
  </si>
  <si>
    <t>0866589115</t>
  </si>
  <si>
    <t>0972807981</t>
  </si>
  <si>
    <t>0345708638</t>
  </si>
  <si>
    <t>0359012720</t>
  </si>
  <si>
    <t>0983558904</t>
  </si>
  <si>
    <t>0979672184.1</t>
  </si>
  <si>
    <t>0983901718</t>
  </si>
  <si>
    <t>0394849985</t>
  </si>
  <si>
    <t>0848190058</t>
  </si>
  <si>
    <t>0984468658</t>
  </si>
  <si>
    <t>0915539636</t>
  </si>
  <si>
    <t>0354883698</t>
  </si>
  <si>
    <t>0359155335</t>
  </si>
  <si>
    <t>0964691685</t>
  </si>
  <si>
    <t>0915483361</t>
  </si>
  <si>
    <t>0948081028</t>
  </si>
  <si>
    <t>0394710686</t>
  </si>
  <si>
    <t>0949281576</t>
  </si>
  <si>
    <t>0378977522</t>
  </si>
  <si>
    <t>0907494989</t>
  </si>
  <si>
    <t>0375566476</t>
  </si>
  <si>
    <t>0973085537</t>
  </si>
  <si>
    <t>0378925136</t>
  </si>
  <si>
    <t>0978095171</t>
  </si>
  <si>
    <t>0386797720</t>
  </si>
  <si>
    <t>0965833810</t>
  </si>
  <si>
    <t>0965519448</t>
  </si>
  <si>
    <t>0972145666</t>
  </si>
  <si>
    <t>0349035712</t>
  </si>
  <si>
    <t>0822862566</t>
  </si>
  <si>
    <t>0772261991</t>
  </si>
  <si>
    <t>0829838268</t>
  </si>
  <si>
    <t>0976874280</t>
  </si>
  <si>
    <t>0979672184.2</t>
  </si>
  <si>
    <t>0349753204</t>
  </si>
  <si>
    <t>0978818281</t>
  </si>
  <si>
    <t>0386623695</t>
  </si>
  <si>
    <t>0986862336</t>
  </si>
  <si>
    <t>0335105076</t>
  </si>
  <si>
    <t>0384496256</t>
  </si>
  <si>
    <t>0981946828</t>
  </si>
  <si>
    <t>0399125488</t>
  </si>
  <si>
    <t>0975464181</t>
  </si>
  <si>
    <t>0366260161</t>
  </si>
  <si>
    <t>0989639638</t>
  </si>
  <si>
    <t>0366415019.2</t>
  </si>
  <si>
    <t>0976593500</t>
  </si>
  <si>
    <t>0943376343</t>
  </si>
  <si>
    <t>0984487119</t>
  </si>
  <si>
    <t>0972966856</t>
  </si>
  <si>
    <t>0972180235</t>
  </si>
  <si>
    <t>0914922186</t>
  </si>
  <si>
    <t>0985236395</t>
  </si>
  <si>
    <t>0813990662.1</t>
  </si>
  <si>
    <t>0964561971</t>
  </si>
  <si>
    <t>0986809480</t>
  </si>
  <si>
    <t>0396854559</t>
  </si>
  <si>
    <t>0977063645</t>
  </si>
  <si>
    <t>0985315088</t>
  </si>
  <si>
    <t>0349591607</t>
  </si>
  <si>
    <t>0977389407</t>
  </si>
  <si>
    <t>0389397266</t>
  </si>
  <si>
    <t>0345247100</t>
  </si>
  <si>
    <t>0974155298</t>
  </si>
  <si>
    <t>0948028860</t>
  </si>
  <si>
    <t>0383625604</t>
  </si>
  <si>
    <t>0988165220</t>
  </si>
  <si>
    <t>0353139836</t>
  </si>
  <si>
    <t>0977387222</t>
  </si>
  <si>
    <t>0976470385</t>
  </si>
  <si>
    <t>0918933078</t>
  </si>
  <si>
    <t>0976912288</t>
  </si>
  <si>
    <t>0983843525</t>
  </si>
  <si>
    <t>0334594216</t>
  </si>
  <si>
    <t>0917483182</t>
  </si>
  <si>
    <t>0382891201</t>
  </si>
  <si>
    <t>0974276896</t>
  </si>
  <si>
    <t>0353136168</t>
  </si>
  <si>
    <t>0977559012</t>
  </si>
  <si>
    <t>0968134858</t>
  </si>
  <si>
    <t>0948299488</t>
  </si>
  <si>
    <t>0357295320</t>
  </si>
  <si>
    <t>Số 115 Đường Ngô Quyền</t>
  </si>
  <si>
    <t>Khu Chợ Tt Bắc Sơn</t>
  </si>
  <si>
    <t>Khu 4 Na Sầm</t>
  </si>
  <si>
    <t>Số 43, Khu 4 Na Sầm</t>
  </si>
  <si>
    <t>Số 68 Đường Mỹ Sơn</t>
  </si>
  <si>
    <t>Số 137B Lê Đại Hành</t>
  </si>
  <si>
    <t>Số 140 Phai Vệ</t>
  </si>
  <si>
    <t>Số 149 Lê Lợi</t>
  </si>
  <si>
    <t>Số 165 Lê Hồng Phong</t>
  </si>
  <si>
    <t>Trung tâm</t>
  </si>
  <si>
    <t>Số 207 Đ. Trần Đăng Ninh</t>
  </si>
  <si>
    <t>Số 26 Tam Thanh</t>
  </si>
  <si>
    <t>Số 2 Đường Nguyễn Du</t>
  </si>
  <si>
    <t>Số 522 Hùng Vương</t>
  </si>
  <si>
    <t>Số 58 Trần Đăng Ninh</t>
  </si>
  <si>
    <t>Số 52B Trần Đăng Ninh</t>
  </si>
  <si>
    <t>Số 726 Trần Đăng Ninh</t>
  </si>
  <si>
    <t>Số 85 Đường Trần Đăng Ninh</t>
  </si>
  <si>
    <t>Số 180, Đường Ngô Quyền</t>
  </si>
  <si>
    <t>Số 15 Đường Văn Vỉ</t>
  </si>
  <si>
    <t>Kiot 36, Chợ Đồng Mỏ</t>
  </si>
  <si>
    <t>Số 225 Đường Đại Huề</t>
  </si>
  <si>
    <t>Số 610 Đường Trần Đăng Ninh</t>
  </si>
  <si>
    <t>Số 10 Nguyễn Du</t>
  </si>
  <si>
    <t>Thôn Hoàng Lâm</t>
  </si>
  <si>
    <t>Số 145 Đ. Trần Hưng Đạo</t>
  </si>
  <si>
    <t>Số 144 Lê Hồng Phong</t>
  </si>
  <si>
    <t>Số 11 Đường Xương Giang</t>
  </si>
  <si>
    <t>Số 14 Tôn Thất Tùng</t>
  </si>
  <si>
    <t>Tiểu Khu Minh Khai</t>
  </si>
  <si>
    <t>Khối Phố 3 Bình Gia</t>
  </si>
  <si>
    <t>Số 172 Đường Phai Vệ</t>
  </si>
  <si>
    <t>Số 90 Đường Ngô Quyền</t>
  </si>
  <si>
    <t>Thôn Đại Sơn</t>
  </si>
  <si>
    <t>Số 158 Đường Phai Vệ</t>
  </si>
  <si>
    <t>Số 225 Trần Đăng Ninh</t>
  </si>
  <si>
    <t>Số 154 Nguyễn Du</t>
  </si>
  <si>
    <t>Số 169 Đường Bắc Sơn</t>
  </si>
  <si>
    <t>Kiot Chợ, Khối 6 Cao Lộc</t>
  </si>
  <si>
    <t>Kiot Số 6,Chợ Chi Lăng</t>
  </si>
  <si>
    <t>Số 293 Đ. Bà Triệu</t>
  </si>
  <si>
    <t>Số 11 Đường Thanh Niên</t>
  </si>
  <si>
    <t>Số 6 Đường Đèo Giang</t>
  </si>
  <si>
    <t>Số 07 Phố Cửa Nam</t>
  </si>
  <si>
    <t>Số 45 Đường 19-8, Khu An Thinh</t>
  </si>
  <si>
    <t>So 46 Đinh Tiên Hoàn</t>
  </si>
  <si>
    <t>Số 18 Đinh Tiên Hoàng</t>
  </si>
  <si>
    <t>Số 436 Đường Bà Triệu</t>
  </si>
  <si>
    <t>Số 419 Trần Đăng Ninh</t>
  </si>
  <si>
    <t>Số 124 Đường Ngô Quyền</t>
  </si>
  <si>
    <t>Số 256 Trần Quang Khải</t>
  </si>
  <si>
    <t>Số 07 Đường Phan Đình Phùng</t>
  </si>
  <si>
    <t>Số 423 Trần Đăng Ninh</t>
  </si>
  <si>
    <t>64/49 khu dây thép</t>
  </si>
  <si>
    <t>Số 76 Đường Phai Vệ</t>
  </si>
  <si>
    <t>Số 753 Đường Bà Triệu</t>
  </si>
  <si>
    <t>Số 127 Đường Tam Thanh</t>
  </si>
  <si>
    <t>Số 15 Lê Lợi</t>
  </si>
  <si>
    <t>Thôn Đồng Bụt</t>
  </si>
  <si>
    <t>Số 132 Đường Hùng Vương</t>
  </si>
  <si>
    <t>Số 6 Lý Thái Tổ</t>
  </si>
  <si>
    <t>Số 52A Phai Vê</t>
  </si>
  <si>
    <t>Số 160 Phai Vệ</t>
  </si>
  <si>
    <t>Phố Đức Tâm</t>
  </si>
  <si>
    <t>Số 742 Đường Trần Đăng Ninh</t>
  </si>
  <si>
    <t>Số 44 Đường Lê Lợi</t>
  </si>
  <si>
    <t>Số 135 Đ. Phai Vệ</t>
  </si>
  <si>
    <t>Đường Đại Huề, Đầu Cầu Khu Hòa Bình</t>
  </si>
  <si>
    <t>Số 148 Đường Bắc Sơn</t>
  </si>
  <si>
    <t>Số 169B Bà Triệu</t>
  </si>
  <si>
    <t>Số 72 Ngô Quyền</t>
  </si>
  <si>
    <t>Số 72 Lý Thái Tổ</t>
  </si>
  <si>
    <t>Số 91 Trần Phú</t>
  </si>
  <si>
    <t>Số 42 Trần Đăng Ninh</t>
  </si>
  <si>
    <t>Số 200 Đường 3/2, Tổ 01, Khối 75 Cao Lộc</t>
  </si>
  <si>
    <t>Số 03 Đ. Đinh Tiên Hoàng</t>
  </si>
  <si>
    <t>Số 87 Đường Nam Quan</t>
  </si>
  <si>
    <t>Số 85 Đường Lê Hồng Phong</t>
  </si>
  <si>
    <t>Số 5 Chùa Tiên</t>
  </si>
  <si>
    <t>Thôn Suối Ngang 1</t>
  </si>
  <si>
    <t>Khu Minh Khai</t>
  </si>
  <si>
    <t>Số 40 Khu Hòa Bình</t>
  </si>
  <si>
    <t>Số 127 Bờ Sông</t>
  </si>
  <si>
    <t>Tổ 1 Khối 7 Cao Lộc</t>
  </si>
  <si>
    <t>Tổ 1, Khối 7 Cao Lộc</t>
  </si>
  <si>
    <t>Thôn Nà Nạ</t>
  </si>
  <si>
    <t>Thôn Diễn</t>
  </si>
  <si>
    <t>Khu 2 Tân Thanh</t>
  </si>
  <si>
    <t>Số 66 Phố Bờ Sông</t>
  </si>
  <si>
    <t>Số 64 Phố Bờ Sông</t>
  </si>
  <si>
    <t>Khu 4 Đình Lập</t>
  </si>
  <si>
    <t>Chợ Vạn Linh</t>
  </si>
  <si>
    <t>Chợ Sông Hóa</t>
  </si>
  <si>
    <t>Phố Tân Thanh 2</t>
  </si>
  <si>
    <t>Phố Đức Tâm 1</t>
  </si>
  <si>
    <t>Chợ Điềm He</t>
  </si>
  <si>
    <t>Số 38 Thôn Phác La</t>
  </si>
  <si>
    <t>Số 80A, Khối Phố Hoàng Văn Thụ</t>
  </si>
  <si>
    <t>Thôn Đồng Đĩnh</t>
  </si>
  <si>
    <t>Ngã tư tô hiệu</t>
  </si>
  <si>
    <t>Trung tâm y tế Bắc Sơn</t>
  </si>
  <si>
    <t>Thôn Pác Luôn</t>
  </si>
  <si>
    <t>Số 15 Hoàng Hoa Thám</t>
  </si>
  <si>
    <t>Thôn Hồng Phong 2</t>
  </si>
  <si>
    <t>Thôn Dốc Mới 2</t>
  </si>
  <si>
    <t>Thôn Phổng</t>
  </si>
  <si>
    <t>Khu Cây Hồng</t>
  </si>
  <si>
    <t>Thôn Ngã Tư</t>
  </si>
  <si>
    <t>Thôn Ao Sen</t>
  </si>
  <si>
    <t>Khu 4 Na Dương</t>
  </si>
  <si>
    <t>Khối Phố Hoàng Văn Thụ</t>
  </si>
  <si>
    <t>Thôn Nà Quân</t>
  </si>
  <si>
    <t>Số 102, Khu 1 Na Sầm</t>
  </si>
  <si>
    <t>Số 583 Đường Bà Triệu</t>
  </si>
  <si>
    <t>Số 142 Tôn Thất Tùng</t>
  </si>
  <si>
    <t>Khu Cầu Lấm</t>
  </si>
  <si>
    <t>Thôn Nà Nâm</t>
  </si>
  <si>
    <t>Thôn Khau Ràng</t>
  </si>
  <si>
    <t>Khu Bó Ma, Thôn Đại Sơn</t>
  </si>
  <si>
    <t>Kiot Số 4 Chợ Đồng Mơ</t>
  </si>
  <si>
    <t>Thôn Thuần Như 2</t>
  </si>
  <si>
    <t>Thôn Điềm He 2</t>
  </si>
  <si>
    <t>Thôn Nà Danh</t>
  </si>
  <si>
    <t>Kiot Số 7 Chợ Đồng Mỏ</t>
  </si>
  <si>
    <t>Thôn Minh Tiến</t>
  </si>
  <si>
    <t>Thôn bắc nga</t>
  </si>
  <si>
    <t>Số 623, Phố Tân Thanh 1</t>
  </si>
  <si>
    <t>Phố thanh xuân</t>
  </si>
  <si>
    <t>Thôn bản khính</t>
  </si>
  <si>
    <t>Thôn Tồng Han</t>
  </si>
  <si>
    <t>Thôn Long Hưng</t>
  </si>
  <si>
    <t>Số 235 Trần Hưng Đạo</t>
  </si>
  <si>
    <t>Số 17 Phố Cẩu Cung, Khu 3</t>
  </si>
  <si>
    <t>Số  28, Tk Lê Hồng Phong</t>
  </si>
  <si>
    <t>Thôn Nà Song</t>
  </si>
  <si>
    <t>Số 01 Khu Cổng Trắng</t>
  </si>
  <si>
    <t>Thôn Làng Cống</t>
  </si>
  <si>
    <t>Số 43 Đường 21/8, Khu 2</t>
  </si>
  <si>
    <t>Thôn Nà Ngần</t>
  </si>
  <si>
    <t>Thôn Ngọc Thành</t>
  </si>
  <si>
    <t>Ngã Tư Tô Hiệu</t>
  </si>
  <si>
    <t>Số 36 nà nghiều</t>
  </si>
  <si>
    <t>Số 72, Thôn Tân Na</t>
  </si>
  <si>
    <t>Số 216 Đường Xương Giang, Khu Tân Lập</t>
  </si>
  <si>
    <t>Số 80 Đường Xương Giang</t>
  </si>
  <si>
    <t>Số 97 Đường Chi Lăng</t>
  </si>
  <si>
    <t>Thôn Cây Hồng</t>
  </si>
  <si>
    <t>Thôn Xa Đán</t>
  </si>
  <si>
    <t>Chợ Đồng Bành</t>
  </si>
  <si>
    <t>Thôn Ao Đẫu</t>
  </si>
  <si>
    <t>Khu Ga Thị Trấn Đồng Đăng</t>
  </si>
  <si>
    <t>Số 86, Đường 19-8 Khu An Ninh</t>
  </si>
  <si>
    <t>Thôn Nhị Hà</t>
  </si>
  <si>
    <t>Số 04 Đường Bắc Sơn</t>
  </si>
  <si>
    <t>Số 125 Tổ 1, Khối 7 Cao Lộc</t>
  </si>
  <si>
    <t>Số 128 Đ.Hoàng Văn Thụ, Khu 2</t>
  </si>
  <si>
    <t>Thôn Phỏng</t>
  </si>
  <si>
    <t>Số 55 Khối Phố Lương Văn Tri</t>
  </si>
  <si>
    <t>Thôn Tân Thịnh</t>
  </si>
  <si>
    <t>Khối Phố Trần Phú</t>
  </si>
  <si>
    <t>Khu Thống Nhất 2</t>
  </si>
  <si>
    <t>Số 76 Đường Chi Lăng</t>
  </si>
  <si>
    <t>Số 142 Trần Quang Khải</t>
  </si>
  <si>
    <t>Thôn Trí Yên</t>
  </si>
  <si>
    <t>Khối Phố 6B Bình Gia</t>
  </si>
  <si>
    <t>Thôn Bắc Lệ</t>
  </si>
  <si>
    <t>Số 366 P. Đức Hinh</t>
  </si>
  <si>
    <t>Phố Chợ Bãi 2</t>
  </si>
  <si>
    <t>Số 242 Tổ 4, Khối 5 Cao Lộc</t>
  </si>
  <si>
    <t>Số 3, Khu 8 Đình Lập</t>
  </si>
  <si>
    <t>Số 66, Đường Nhánh Bắc</t>
  </si>
  <si>
    <t>Thôn Tân Thành</t>
  </si>
  <si>
    <t>Số 45 Đường Điện Biên, Khối Phố Lương Văn Tri</t>
  </si>
  <si>
    <t>Thôn Gia Hòa I</t>
  </si>
  <si>
    <t>Số 05 Trần Hưng Đạo</t>
  </si>
  <si>
    <t>Số 225 Đường Xương Giang</t>
  </si>
  <si>
    <t>Thôn Than Muội</t>
  </si>
  <si>
    <t>Số 118 Đại Huề, Khu Ga Bắc</t>
  </si>
  <si>
    <t>Kiot Chợ Na Sầm</t>
  </si>
  <si>
    <t>Số 50 Phố Đức Tâm</t>
  </si>
  <si>
    <t>Thôn Pha Lác</t>
  </si>
  <si>
    <t>Số 155, Tổ 1, Khối 6 Cao Lộc</t>
  </si>
  <si>
    <t>Số 102 Lê Lợi</t>
  </si>
  <si>
    <t>Thôn Yên Thành</t>
  </si>
  <si>
    <t>Khu tái định cư cửa khẩu chi ma</t>
  </si>
  <si>
    <t>Phường Vĩnh Trại</t>
  </si>
  <si>
    <t>Thị trấn Bắc Sơn</t>
  </si>
  <si>
    <t>Thị trấn Na Sầm</t>
  </si>
  <si>
    <t>Phường Đông Kinh</t>
  </si>
  <si>
    <t>Phường Tam Thanh</t>
  </si>
  <si>
    <t>Thị trấn Thất Khê</t>
  </si>
  <si>
    <t>Xã Mai Pha</t>
  </si>
  <si>
    <t>Phường Hoàng Văn Thụ</t>
  </si>
  <si>
    <t>Phường Chi Lăng</t>
  </si>
  <si>
    <t>Thị trấn Đồng Mỏ</t>
  </si>
  <si>
    <t>Xã Hoàng Đồng</t>
  </si>
  <si>
    <t>Thị trấn Hữu Lũng</t>
  </si>
  <si>
    <t>Thị trấn Bình Gia</t>
  </si>
  <si>
    <t>Xã Hợp Thành</t>
  </si>
  <si>
    <t>Thị trấn Cao Lộc</t>
  </si>
  <si>
    <t>Thị trấn Đồng Đăng</t>
  </si>
  <si>
    <t>Xã Yên Bình</t>
  </si>
  <si>
    <t>Thị trấn Văn Quan</t>
  </si>
  <si>
    <t>Xã Hòa Thắng</t>
  </si>
  <si>
    <t>Xã Tân Thành</t>
  </si>
  <si>
    <t>Thị trấn Lộc Bình</t>
  </si>
  <si>
    <t>Xã Quốc Việt</t>
  </si>
  <si>
    <t>Xã Yên Thịnh</t>
  </si>
  <si>
    <t>Xã Tân Thanh</t>
  </si>
  <si>
    <t>Thị trấn Đình Lập</t>
  </si>
  <si>
    <t>Thị trấn Chi Lăng</t>
  </si>
  <si>
    <t>Xã Điềm He</t>
  </si>
  <si>
    <t>Xã Tô Hiệu</t>
  </si>
  <si>
    <t>Xã Đề Thám</t>
  </si>
  <si>
    <t>Xã Chiến Thắng</t>
  </si>
  <si>
    <t>Xã Sơn Hà</t>
  </si>
  <si>
    <t>Xã Vân Nham</t>
  </si>
  <si>
    <t>Xã Yên Vượng</t>
  </si>
  <si>
    <t>Xã Đồng Tân</t>
  </si>
  <si>
    <t>Thị trấn Na Dương</t>
  </si>
  <si>
    <t>Xã Tân Văn</t>
  </si>
  <si>
    <t>Xã Tân Lập</t>
  </si>
  <si>
    <t>Xã Đồng ý</t>
  </si>
  <si>
    <t>Xã Hoàng Văn Thụ</t>
  </si>
  <si>
    <t>Xã Vũ Sơn</t>
  </si>
  <si>
    <t>Xã Vũ Lễ</t>
  </si>
  <si>
    <t>Xã Gia Cát</t>
  </si>
  <si>
    <t>Xã Khánh Khê</t>
  </si>
  <si>
    <t>Xã Long Đống</t>
  </si>
  <si>
    <t>Xã Yên Trạch</t>
  </si>
  <si>
    <t>Xã Tân Mỹ</t>
  </si>
  <si>
    <t>Xã Khánh Xuân</t>
  </si>
  <si>
    <t>Xã Nhật Tiến</t>
  </si>
  <si>
    <t>Xã Yên Phúc</t>
  </si>
  <si>
    <t>Xã Nhất Hòa</t>
  </si>
  <si>
    <t>Xã Yên Khoái</t>
  </si>
  <si>
    <t>Phuong Vinh Trai (Thanh pho Lang Son)</t>
  </si>
  <si>
    <t>Thi tran Bac Son (Huyen Bac Son)</t>
  </si>
  <si>
    <t>Thi tran Na Sam (Huyen Van Lang)</t>
  </si>
  <si>
    <t>Phuong Dong Kinh (Thanh pho Lang Son)</t>
  </si>
  <si>
    <t>Phuong Tam Thanh (Thanh pho Lang Son)</t>
  </si>
  <si>
    <t>Thi tran That Khe (Huyen Trang Dinh)</t>
  </si>
  <si>
    <t>Xa Mai Pha (Thanh pho Lang Son)</t>
  </si>
  <si>
    <t>Phuong Hoang Van Thu (Thanh pho Lang Son)</t>
  </si>
  <si>
    <t>Phuong Chi Lang (Thanh pho Lang Son)</t>
  </si>
  <si>
    <t>Thi tran Dong Mo (Huyen Chi Lang)</t>
  </si>
  <si>
    <t>Xa Hoang Dong (Thanh pho Lang Son)</t>
  </si>
  <si>
    <t>Thi tran Huu Lung (Huyen Huu Lung)</t>
  </si>
  <si>
    <t>Thi tran Binh Gia (Huyen Binh Gia)</t>
  </si>
  <si>
    <t>Xa Hop Thanh (Huyen Cao Loc)</t>
  </si>
  <si>
    <t>Thi tran Cao Loc (Huyen Cao Loc)</t>
  </si>
  <si>
    <t>Thi tran Dong Dang (Huyen Cao Loc)</t>
  </si>
  <si>
    <t>Xa Yen Binh (Huyen Huu Lung)</t>
  </si>
  <si>
    <t>Thi tran Van Quan (Huyen Van Quan)</t>
  </si>
  <si>
    <t>Xa Hoa Thang (Huyen Huu Lung)</t>
  </si>
  <si>
    <t>Xa Tan Thanh (Huyen Huu Lung)</t>
  </si>
  <si>
    <t>Thi tran Loc Binh (Huyen Loc Binh)</t>
  </si>
  <si>
    <t>Xa Quoc Viet (Huyen Trang Dinh)</t>
  </si>
  <si>
    <t>Xa Yen Thinh (Huyen Huu Lung)</t>
  </si>
  <si>
    <t>Xa Tan Thanh (Huyen Van Lang)</t>
  </si>
  <si>
    <t>Thi tran Dinh Lap (Huyen Dinh Lap)</t>
  </si>
  <si>
    <t>Thi tran Chi Lang (Huyen Chi Lang)</t>
  </si>
  <si>
    <t>Xa Diem He (Huyen Van Quan)</t>
  </si>
  <si>
    <t>Xa To Hieu (Huyen Binh Gia)</t>
  </si>
  <si>
    <t>Xa De Tham (Huyen Trang Dinh)</t>
  </si>
  <si>
    <t>Xa Chien Thang (Huyen Bac Son)</t>
  </si>
  <si>
    <t>Xa Son Ha (Huyen Huu Lung)</t>
  </si>
  <si>
    <t>Xa Van Nham (Huyen Huu Lung)</t>
  </si>
  <si>
    <t>Xa Yen Vuong (Huyen Huu Lung)</t>
  </si>
  <si>
    <t>Xa Dong Tan (Huyen Huu Lung)</t>
  </si>
  <si>
    <t>Thi tran Na Duong (Huyen Loc Binh)</t>
  </si>
  <si>
    <t>Xa Tan Van (Huyen Binh Gia)</t>
  </si>
  <si>
    <t>Xa Tan Lap (Huyen Bac Son)</t>
  </si>
  <si>
    <t>Xa Dong y (Huyen Bac Son)</t>
  </si>
  <si>
    <t>Xa Hoang Van Thu (Huyen Binh Gia)</t>
  </si>
  <si>
    <t>Xa Vu Son (Huyen Bac Son)</t>
  </si>
  <si>
    <t>Xa Vu Le (Huyen Bac Son)</t>
  </si>
  <si>
    <t>Xa Gia Cat (Huyen Cao Loc)</t>
  </si>
  <si>
    <t>Xa Khanh Khe (Huyen Van Quan)</t>
  </si>
  <si>
    <t>Xa Tan Thanh (Huyen Cao Loc)</t>
  </si>
  <si>
    <t>Xa Long Dong (Huyen Bac Son)</t>
  </si>
  <si>
    <t>Xa Yen Trach (Huyen Cao Loc)</t>
  </si>
  <si>
    <t>Xa Tan My (Huyen Van Lang)</t>
  </si>
  <si>
    <t>Xa Khanh Xuan (Huyen Loc Binh)</t>
  </si>
  <si>
    <t>Xa Nhat Tien (Huyen Huu Lung)</t>
  </si>
  <si>
    <t>Xa Yen Phuc (Huyen Van Quan)</t>
  </si>
  <si>
    <t>Xa Nhat Hoa (Huyen Bac Son)</t>
  </si>
  <si>
    <t>Xa Yen Khoai (Huyen Loc Binh)</t>
  </si>
  <si>
    <t>Thành phố Lạng Sơn</t>
  </si>
  <si>
    <t>Huyện Bắc Sơn</t>
  </si>
  <si>
    <t>Huyện Văn Lãng</t>
  </si>
  <si>
    <t>Huyện Tràng Định</t>
  </si>
  <si>
    <t>Huyện Chi Lăng</t>
  </si>
  <si>
    <t>Huyện Hữu Lũng</t>
  </si>
  <si>
    <t>Huyện Bình Gia</t>
  </si>
  <si>
    <t>Huyện Cao Lộc</t>
  </si>
  <si>
    <t>Huyện Văn Quan</t>
  </si>
  <si>
    <t>Huyện Lộc Bình</t>
  </si>
  <si>
    <t>Huyện Đình Lập</t>
  </si>
  <si>
    <t>Thanh pho Lang Son (Lang Son)</t>
  </si>
  <si>
    <t>Huyen Bac Son (Lang Son)</t>
  </si>
  <si>
    <t>Huyen Van Lang (Lang Son)</t>
  </si>
  <si>
    <t>Huyen Trang Dinh (Lang Son)</t>
  </si>
  <si>
    <t>Huyen Chi Lang (Lang Son)</t>
  </si>
  <si>
    <t>Huyen Huu Lung (Lang Son)</t>
  </si>
  <si>
    <t>Huyen Binh Gia (Lang Son)</t>
  </si>
  <si>
    <t>Huyen Cao Loc (Lang Son)</t>
  </si>
  <si>
    <t>Huyen Van Quan (Lang Son)</t>
  </si>
  <si>
    <t>Huyen Loc Binh (Lang Son)</t>
  </si>
  <si>
    <t>Huyen Dinh Lap (Lang Son)</t>
  </si>
  <si>
    <t>Lạng Sơn</t>
  </si>
  <si>
    <t>Lang Son (VN)</t>
  </si>
  <si>
    <t>/</t>
  </si>
  <si>
    <t>30/3/1976</t>
  </si>
  <si>
    <t>25/4/1973</t>
  </si>
  <si>
    <t>22/9/1987</t>
  </si>
  <si>
    <t>22/12/1957</t>
  </si>
  <si>
    <t>28/1/1984</t>
  </si>
  <si>
    <t>29/12/1990</t>
  </si>
  <si>
    <t>27/10/1962</t>
  </si>
  <si>
    <t>16/12/1972</t>
  </si>
  <si>
    <t>19/12/1979</t>
  </si>
  <si>
    <t>18/6/1990</t>
  </si>
  <si>
    <t>29/5/1985</t>
  </si>
  <si>
    <t>30/10/1973</t>
  </si>
  <si>
    <t>29/4/1990</t>
  </si>
  <si>
    <t>28/9/1976</t>
  </si>
  <si>
    <t>17/11/1987</t>
  </si>
  <si>
    <t>24/8/1984</t>
  </si>
  <si>
    <t>31/8/1969</t>
  </si>
  <si>
    <t>18/7/1993</t>
  </si>
  <si>
    <t>26/6/1950</t>
  </si>
  <si>
    <t>16/11/1961</t>
  </si>
  <si>
    <t>16/6/1983</t>
  </si>
  <si>
    <t>17/2/1970</t>
  </si>
  <si>
    <t>26/2/1962</t>
  </si>
  <si>
    <t>16/4/1978</t>
  </si>
  <si>
    <t>13/9/1992</t>
  </si>
  <si>
    <t>15/9/1996</t>
  </si>
  <si>
    <t>19/6/1988</t>
  </si>
  <si>
    <t>19/10/1972</t>
  </si>
  <si>
    <t>22/7/1987</t>
  </si>
  <si>
    <t>0/1/1900</t>
  </si>
  <si>
    <t>26/1/1985</t>
  </si>
  <si>
    <t>18/6/1975</t>
  </si>
  <si>
    <t>13/7/1973</t>
  </si>
  <si>
    <t>23/12/1965</t>
  </si>
  <si>
    <t>18/4/1962</t>
  </si>
  <si>
    <t>24/6/1973</t>
  </si>
  <si>
    <t>23/3/1964</t>
  </si>
  <si>
    <t>22/10/1976</t>
  </si>
  <si>
    <t>26/11/1994</t>
  </si>
  <si>
    <t>23/12/1990</t>
  </si>
  <si>
    <t>14/1/1968</t>
  </si>
  <si>
    <t>20/8/1973</t>
  </si>
  <si>
    <t>27/10/1987</t>
  </si>
  <si>
    <t>22/1/1984</t>
  </si>
  <si>
    <t>13/7/1984</t>
  </si>
  <si>
    <t>29/7/1982</t>
  </si>
  <si>
    <t>25/6/1997</t>
  </si>
  <si>
    <t>26/4/1985</t>
  </si>
  <si>
    <t>16/5/2022</t>
  </si>
  <si>
    <t>16/9/1984</t>
  </si>
  <si>
    <t>24/4/1984</t>
  </si>
  <si>
    <t>17/8/1981</t>
  </si>
  <si>
    <t>28/8/1989</t>
  </si>
  <si>
    <t>21/6/1966</t>
  </si>
  <si>
    <t>17/6/1972</t>
  </si>
  <si>
    <t>29/10/1992</t>
  </si>
  <si>
    <t>27/2/1995</t>
  </si>
  <si>
    <t>14/5/1989</t>
  </si>
  <si>
    <t>23/9/1991</t>
  </si>
  <si>
    <t>15/3/1993</t>
  </si>
  <si>
    <t>27/11/1981</t>
  </si>
  <si>
    <t>15/5/1990</t>
  </si>
  <si>
    <t>19/3/1983</t>
  </si>
  <si>
    <t>16/7/1985</t>
  </si>
  <si>
    <t>26/7/1989</t>
  </si>
  <si>
    <t>17/11/1986</t>
  </si>
  <si>
    <t>24/11/1990</t>
  </si>
  <si>
    <t>21/11/1988</t>
  </si>
  <si>
    <t>22/3/1983</t>
  </si>
  <si>
    <t>27/8/1970</t>
  </si>
  <si>
    <t>13/6/1988</t>
  </si>
  <si>
    <t>16/10/1994</t>
  </si>
  <si>
    <t>14/3/1989</t>
  </si>
  <si>
    <t>25/5/1988</t>
  </si>
  <si>
    <t>15/5/1995</t>
  </si>
  <si>
    <t>17/2/1988</t>
  </si>
  <si>
    <t>13/3/1991</t>
  </si>
  <si>
    <t>25/8/1987</t>
  </si>
  <si>
    <t>19/6/1960</t>
  </si>
  <si>
    <t>28/3/1985</t>
  </si>
  <si>
    <t>24/4/1991</t>
  </si>
  <si>
    <t>27/8/1981</t>
  </si>
  <si>
    <t>20/12/1995</t>
  </si>
  <si>
    <t>26/4/1987</t>
  </si>
  <si>
    <t>20/11/1984</t>
  </si>
  <si>
    <t>18/12/1993</t>
  </si>
  <si>
    <t>24/2/1993</t>
  </si>
  <si>
    <t>13/4/1991</t>
  </si>
  <si>
    <t>30/6/1983</t>
  </si>
  <si>
    <t>28/7/1988</t>
  </si>
  <si>
    <t>15/1/1988</t>
  </si>
  <si>
    <t>13/8/1986</t>
  </si>
  <si>
    <t>16/12/1990</t>
  </si>
  <si>
    <t>16/8/1971</t>
  </si>
  <si>
    <t>26/5/1981</t>
  </si>
  <si>
    <t>26/7/1987</t>
  </si>
  <si>
    <t>22/2/1989</t>
  </si>
  <si>
    <t>14/1/1964</t>
  </si>
  <si>
    <t>28/12/1990</t>
  </si>
  <si>
    <t>22/6/2023</t>
  </si>
  <si>
    <t>28/2/1991</t>
  </si>
  <si>
    <t>29/12/1989</t>
  </si>
  <si>
    <t>23/2/1982</t>
  </si>
  <si>
    <t>16/7/1989</t>
  </si>
  <si>
    <t>16/10/1992</t>
  </si>
  <si>
    <t>13/8/1983</t>
  </si>
  <si>
    <t>14/11/1990</t>
  </si>
  <si>
    <t>13/6/1974</t>
  </si>
  <si>
    <t>18/6/1979</t>
  </si>
  <si>
    <t>21/4/1997</t>
  </si>
  <si>
    <t>18/8/1977</t>
  </si>
  <si>
    <t>17/8/1985</t>
  </si>
  <si>
    <t>23/4/1984</t>
  </si>
  <si>
    <t>30/9/1981</t>
  </si>
  <si>
    <t>22/2/1985</t>
  </si>
  <si>
    <t>19/2/1979</t>
  </si>
  <si>
    <t>|</t>
  </si>
  <si>
    <t>1/5/1969</t>
  </si>
  <si>
    <t>6/6/1964</t>
  </si>
  <si>
    <t>12/7/1960</t>
  </si>
  <si>
    <t>12/6/1966</t>
  </si>
  <si>
    <t>9/5/1975</t>
  </si>
  <si>
    <t>12/9/1987</t>
  </si>
  <si>
    <t>10/12/1967</t>
  </si>
  <si>
    <t>5/3/1992</t>
  </si>
  <si>
    <t>3/3/1967</t>
  </si>
  <si>
    <t>9/2/1989</t>
  </si>
  <si>
    <t>7/6/1973</t>
  </si>
  <si>
    <t>8/6/1989</t>
  </si>
  <si>
    <t>6/11/1991</t>
  </si>
  <si>
    <t>12/5/1985</t>
  </si>
  <si>
    <t>8/4/1990</t>
  </si>
  <si>
    <t>4/7/1977</t>
  </si>
  <si>
    <t>7/5/1962</t>
  </si>
  <si>
    <t>12/12/1984</t>
  </si>
  <si>
    <t>11/3/1985</t>
  </si>
  <si>
    <t>1/5/1966</t>
  </si>
  <si>
    <t>10/9/1966</t>
  </si>
  <si>
    <t>4/6/1992</t>
  </si>
  <si>
    <t>7/10/1966</t>
  </si>
  <si>
    <t>4/9/1964</t>
  </si>
  <si>
    <t>4/4/1981</t>
  </si>
  <si>
    <t>11/7/1988</t>
  </si>
  <si>
    <t>11/6/1985</t>
  </si>
  <si>
    <t>4/6/1988</t>
  </si>
  <si>
    <t>10/12/1990</t>
  </si>
  <si>
    <t>2/1/1989</t>
  </si>
  <si>
    <t>8/12/1966</t>
  </si>
  <si>
    <t>8/5/1987</t>
  </si>
  <si>
    <t>6/3/1989</t>
  </si>
  <si>
    <t>9/11/1974</t>
  </si>
  <si>
    <t>6/12/1973</t>
  </si>
  <si>
    <t>6/9/1990</t>
  </si>
  <si>
    <t>10/7/1966</t>
  </si>
  <si>
    <t>11/10/1971</t>
  </si>
  <si>
    <t>6/5/1964</t>
  </si>
  <si>
    <t>7/11/1986</t>
  </si>
  <si>
    <t>7/9/1984</t>
  </si>
  <si>
    <t>3/7/1986</t>
  </si>
  <si>
    <t>11/10/1994</t>
  </si>
  <si>
    <t>10/7/1989</t>
  </si>
  <si>
    <t>2/6/1976</t>
  </si>
  <si>
    <t>9/4/1994</t>
  </si>
  <si>
    <t>1/12/1982</t>
  </si>
  <si>
    <t>6/11/1990</t>
  </si>
  <si>
    <t>4/11/1956</t>
  </si>
  <si>
    <t>3/10/1984</t>
  </si>
  <si>
    <t>1/1/1960</t>
  </si>
  <si>
    <t>8/12/1987</t>
  </si>
  <si>
    <t>2/11/1974</t>
  </si>
  <si>
    <t>3/11/1990</t>
  </si>
  <si>
    <t>7/2/1985</t>
  </si>
  <si>
    <t>2/3/1980</t>
  </si>
  <si>
    <t>12/8/1965</t>
  </si>
  <si>
    <t>7/1/1991</t>
  </si>
  <si>
    <t>6/2/1992</t>
  </si>
  <si>
    <t>10/8/1998</t>
  </si>
  <si>
    <t>6/5/1988</t>
  </si>
  <si>
    <t>8/6/1994</t>
  </si>
  <si>
    <t>6/6/1990</t>
  </si>
  <si>
    <t>10/10/1977</t>
  </si>
  <si>
    <t>3/6/1994</t>
  </si>
  <si>
    <t>1/8/1992</t>
  </si>
  <si>
    <t>9/8/1987</t>
  </si>
  <si>
    <t>7/11/1983</t>
  </si>
  <si>
    <t>10/9/1984</t>
  </si>
  <si>
    <t>10/10/1965</t>
  </si>
  <si>
    <t>2/10/1986</t>
  </si>
  <si>
    <t>6/6/1983</t>
  </si>
  <si>
    <t>11/7/1993</t>
  </si>
  <si>
    <t>12/7/1988</t>
  </si>
  <si>
    <t>1/10/1981</t>
  </si>
  <si>
    <t>5/6/1996</t>
  </si>
  <si>
    <t>4/7/1986</t>
  </si>
  <si>
    <t>2/10/1989</t>
  </si>
  <si>
    <t>1/8/1967</t>
  </si>
  <si>
    <t>11/4/1994</t>
  </si>
  <si>
    <t>7/5/1966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</si>
</sst>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8"/>
  <sheetViews>
    <sheetView tabSelected="1" topLeftCell="I1" workbookViewId="0">
      <selection activeCell="T2" sqref="T2:T208"/>
    </sheetView>
  </sheetViews>
  <sheetFormatPr defaultColWidth="26.42578125" defaultRowHeight="15" x14ac:dyDescent="0.25"/>
  <cols>
    <col min="15" max="15" width="4" customWidth="1"/>
    <col min="16" max="16" width="6.140625" customWidth="1"/>
    <col min="17" max="17" width="4.7109375" customWidth="1"/>
    <col min="18" max="18" width="16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4"/>
    </row>
    <row r="2" spans="1:20" x14ac:dyDescent="0.25">
      <c r="A2" t="s">
        <v>11</v>
      </c>
      <c r="B2" t="s">
        <v>217</v>
      </c>
      <c r="C2" t="s">
        <v>218</v>
      </c>
      <c r="D2" t="s">
        <v>425</v>
      </c>
      <c r="E2" t="s">
        <v>610</v>
      </c>
      <c r="F2" t="s">
        <v>661</v>
      </c>
      <c r="G2" t="s">
        <v>713</v>
      </c>
      <c r="H2" t="s">
        <v>724</v>
      </c>
      <c r="I2" t="s">
        <v>735</v>
      </c>
      <c r="J2" t="s">
        <v>736</v>
      </c>
      <c r="K2" s="2">
        <v>27849</v>
      </c>
      <c r="L2" s="2">
        <v>27849</v>
      </c>
      <c r="M2" s="2" t="s">
        <v>854</v>
      </c>
      <c r="N2">
        <f>DAY(L2)</f>
        <v>30</v>
      </c>
      <c r="O2" t="s">
        <v>737</v>
      </c>
      <c r="P2">
        <f>MONTH(L2)</f>
        <v>3</v>
      </c>
      <c r="Q2" t="s">
        <v>737</v>
      </c>
      <c r="R2">
        <f>YEAR(L2)</f>
        <v>1976</v>
      </c>
      <c r="S2" t="s">
        <v>738</v>
      </c>
      <c r="T2" s="5" t="s">
        <v>738</v>
      </c>
    </row>
    <row r="3" spans="1:20" x14ac:dyDescent="0.25">
      <c r="A3" t="s">
        <v>12</v>
      </c>
      <c r="B3" t="s">
        <v>217</v>
      </c>
      <c r="C3" t="s">
        <v>219</v>
      </c>
      <c r="D3" t="s">
        <v>426</v>
      </c>
      <c r="E3" t="s">
        <v>611</v>
      </c>
      <c r="F3" t="s">
        <v>662</v>
      </c>
      <c r="G3" t="s">
        <v>714</v>
      </c>
      <c r="H3" t="s">
        <v>725</v>
      </c>
      <c r="I3" t="s">
        <v>735</v>
      </c>
      <c r="J3" t="s">
        <v>736</v>
      </c>
      <c r="K3" s="2">
        <v>26779</v>
      </c>
      <c r="L3" s="2">
        <v>26779</v>
      </c>
      <c r="M3" s="2" t="s">
        <v>854</v>
      </c>
      <c r="N3">
        <f t="shared" ref="N3:N66" si="0">DAY(L3)</f>
        <v>25</v>
      </c>
      <c r="O3" t="s">
        <v>737</v>
      </c>
      <c r="P3">
        <f t="shared" ref="P3:P66" si="1">MONTH(L3)</f>
        <v>4</v>
      </c>
      <c r="Q3" t="s">
        <v>737</v>
      </c>
      <c r="R3">
        <f t="shared" ref="R3:R66" si="2">YEAR(L3)</f>
        <v>1973</v>
      </c>
      <c r="S3" t="s">
        <v>739</v>
      </c>
      <c r="T3" s="5" t="s">
        <v>739</v>
      </c>
    </row>
    <row r="4" spans="1:20" x14ac:dyDescent="0.25">
      <c r="A4" t="s">
        <v>13</v>
      </c>
      <c r="B4" t="s">
        <v>217</v>
      </c>
      <c r="C4" t="s">
        <v>220</v>
      </c>
      <c r="D4" t="s">
        <v>427</v>
      </c>
      <c r="E4" t="s">
        <v>612</v>
      </c>
      <c r="F4" t="s">
        <v>663</v>
      </c>
      <c r="G4" t="s">
        <v>715</v>
      </c>
      <c r="H4" t="s">
        <v>726</v>
      </c>
      <c r="I4" t="s">
        <v>735</v>
      </c>
      <c r="J4" t="s">
        <v>736</v>
      </c>
      <c r="K4" s="2">
        <v>25324</v>
      </c>
      <c r="L4" s="2">
        <v>25324</v>
      </c>
      <c r="M4" s="2" t="s">
        <v>854</v>
      </c>
      <c r="N4">
        <f t="shared" si="0"/>
        <v>1</v>
      </c>
      <c r="O4" t="s">
        <v>737</v>
      </c>
      <c r="P4">
        <f t="shared" si="1"/>
        <v>5</v>
      </c>
      <c r="Q4" t="s">
        <v>737</v>
      </c>
      <c r="R4">
        <f t="shared" si="2"/>
        <v>1969</v>
      </c>
      <c r="S4" s="3">
        <v>25208</v>
      </c>
      <c r="T4" s="5" t="s">
        <v>855</v>
      </c>
    </row>
    <row r="5" spans="1:20" x14ac:dyDescent="0.25">
      <c r="A5" t="s">
        <v>14</v>
      </c>
      <c r="B5" t="s">
        <v>217</v>
      </c>
      <c r="C5" t="s">
        <v>221</v>
      </c>
      <c r="D5" t="s">
        <v>428</v>
      </c>
      <c r="E5" t="s">
        <v>612</v>
      </c>
      <c r="F5" t="s">
        <v>663</v>
      </c>
      <c r="G5" t="s">
        <v>715</v>
      </c>
      <c r="H5" t="s">
        <v>726</v>
      </c>
      <c r="I5" t="s">
        <v>735</v>
      </c>
      <c r="J5" t="s">
        <v>736</v>
      </c>
      <c r="K5" s="2">
        <v>23534</v>
      </c>
      <c r="L5" s="2">
        <v>23534</v>
      </c>
      <c r="M5" s="2" t="s">
        <v>854</v>
      </c>
      <c r="N5">
        <f t="shared" si="0"/>
        <v>6</v>
      </c>
      <c r="O5" t="s">
        <v>737</v>
      </c>
      <c r="P5">
        <f t="shared" si="1"/>
        <v>6</v>
      </c>
      <c r="Q5" t="s">
        <v>737</v>
      </c>
      <c r="R5">
        <f t="shared" si="2"/>
        <v>1964</v>
      </c>
      <c r="S5" s="3">
        <v>23534</v>
      </c>
      <c r="T5" s="5" t="s">
        <v>856</v>
      </c>
    </row>
    <row r="6" spans="1:20" x14ac:dyDescent="0.25">
      <c r="A6" t="s">
        <v>15</v>
      </c>
      <c r="B6" t="s">
        <v>217</v>
      </c>
      <c r="C6" t="s">
        <v>222</v>
      </c>
      <c r="D6" t="s">
        <v>429</v>
      </c>
      <c r="E6" t="s">
        <v>610</v>
      </c>
      <c r="F6" t="s">
        <v>661</v>
      </c>
      <c r="G6" t="s">
        <v>713</v>
      </c>
      <c r="H6" t="s">
        <v>724</v>
      </c>
      <c r="I6" t="s">
        <v>735</v>
      </c>
      <c r="J6" t="s">
        <v>736</v>
      </c>
      <c r="K6" s="2">
        <v>32042</v>
      </c>
      <c r="L6" s="2">
        <v>32042</v>
      </c>
      <c r="M6" s="2" t="s">
        <v>854</v>
      </c>
      <c r="N6">
        <f t="shared" si="0"/>
        <v>22</v>
      </c>
      <c r="O6" t="s">
        <v>737</v>
      </c>
      <c r="P6">
        <f t="shared" si="1"/>
        <v>9</v>
      </c>
      <c r="Q6" t="s">
        <v>737</v>
      </c>
      <c r="R6">
        <f t="shared" si="2"/>
        <v>1987</v>
      </c>
      <c r="S6" t="s">
        <v>740</v>
      </c>
      <c r="T6" s="5" t="s">
        <v>740</v>
      </c>
    </row>
    <row r="7" spans="1:20" x14ac:dyDescent="0.25">
      <c r="A7" t="s">
        <v>16</v>
      </c>
      <c r="B7" t="s">
        <v>217</v>
      </c>
      <c r="C7" t="s">
        <v>223</v>
      </c>
      <c r="D7" t="s">
        <v>430</v>
      </c>
      <c r="E7" t="s">
        <v>613</v>
      </c>
      <c r="F7" t="s">
        <v>664</v>
      </c>
      <c r="G7" t="s">
        <v>713</v>
      </c>
      <c r="H7" t="s">
        <v>724</v>
      </c>
      <c r="I7" t="s">
        <v>735</v>
      </c>
      <c r="J7" t="s">
        <v>736</v>
      </c>
      <c r="K7" s="2">
        <v>22109</v>
      </c>
      <c r="L7" s="2">
        <v>22109</v>
      </c>
      <c r="M7" s="2" t="s">
        <v>854</v>
      </c>
      <c r="N7">
        <f t="shared" si="0"/>
        <v>12</v>
      </c>
      <c r="O7" t="s">
        <v>737</v>
      </c>
      <c r="P7">
        <f t="shared" si="1"/>
        <v>7</v>
      </c>
      <c r="Q7" t="s">
        <v>737</v>
      </c>
      <c r="R7">
        <f t="shared" si="2"/>
        <v>1960</v>
      </c>
      <c r="S7" s="3">
        <v>22257</v>
      </c>
      <c r="T7" s="5" t="s">
        <v>857</v>
      </c>
    </row>
    <row r="8" spans="1:20" x14ac:dyDescent="0.25">
      <c r="A8" t="s">
        <v>17</v>
      </c>
      <c r="B8" t="s">
        <v>217</v>
      </c>
      <c r="C8" t="s">
        <v>224</v>
      </c>
      <c r="D8" t="s">
        <v>431</v>
      </c>
      <c r="E8" t="s">
        <v>613</v>
      </c>
      <c r="F8" t="s">
        <v>664</v>
      </c>
      <c r="G8" t="s">
        <v>713</v>
      </c>
      <c r="H8" t="s">
        <v>724</v>
      </c>
      <c r="I8" t="s">
        <v>735</v>
      </c>
      <c r="J8" t="s">
        <v>736</v>
      </c>
      <c r="K8" s="2">
        <v>24270</v>
      </c>
      <c r="L8" s="2">
        <v>24270</v>
      </c>
      <c r="M8" s="2" t="s">
        <v>854</v>
      </c>
      <c r="N8">
        <f t="shared" si="0"/>
        <v>12</v>
      </c>
      <c r="O8" t="s">
        <v>737</v>
      </c>
      <c r="P8">
        <f t="shared" si="1"/>
        <v>6</v>
      </c>
      <c r="Q8" t="s">
        <v>737</v>
      </c>
      <c r="R8">
        <f t="shared" si="2"/>
        <v>1966</v>
      </c>
      <c r="S8" s="3">
        <v>24447</v>
      </c>
      <c r="T8" s="5" t="s">
        <v>858</v>
      </c>
    </row>
    <row r="9" spans="1:20" x14ac:dyDescent="0.25">
      <c r="A9" t="s">
        <v>18</v>
      </c>
      <c r="B9" t="s">
        <v>217</v>
      </c>
      <c r="C9" t="s">
        <v>225</v>
      </c>
      <c r="D9" t="s">
        <v>432</v>
      </c>
      <c r="E9" t="s">
        <v>610</v>
      </c>
      <c r="F9" t="s">
        <v>661</v>
      </c>
      <c r="G9" t="s">
        <v>713</v>
      </c>
      <c r="H9" t="s">
        <v>724</v>
      </c>
      <c r="I9" t="s">
        <v>735</v>
      </c>
      <c r="J9" t="s">
        <v>736</v>
      </c>
      <c r="K9" s="2">
        <v>27523</v>
      </c>
      <c r="L9" s="2">
        <v>27523</v>
      </c>
      <c r="M9" s="2" t="s">
        <v>854</v>
      </c>
      <c r="N9">
        <f t="shared" si="0"/>
        <v>9</v>
      </c>
      <c r="O9" t="s">
        <v>737</v>
      </c>
      <c r="P9">
        <f t="shared" si="1"/>
        <v>5</v>
      </c>
      <c r="Q9" t="s">
        <v>737</v>
      </c>
      <c r="R9">
        <f t="shared" si="2"/>
        <v>1975</v>
      </c>
      <c r="S9" s="3">
        <v>27642</v>
      </c>
      <c r="T9" s="5" t="s">
        <v>859</v>
      </c>
    </row>
    <row r="10" spans="1:20" x14ac:dyDescent="0.25">
      <c r="A10" t="s">
        <v>19</v>
      </c>
      <c r="B10" t="s">
        <v>217</v>
      </c>
      <c r="C10" t="s">
        <v>226</v>
      </c>
      <c r="D10" t="s">
        <v>433</v>
      </c>
      <c r="E10" t="s">
        <v>614</v>
      </c>
      <c r="F10" t="s">
        <v>665</v>
      </c>
      <c r="G10" t="s">
        <v>713</v>
      </c>
      <c r="H10" t="s">
        <v>724</v>
      </c>
      <c r="I10" t="s">
        <v>735</v>
      </c>
      <c r="J10" t="s">
        <v>736</v>
      </c>
      <c r="K10" s="2">
        <v>32032</v>
      </c>
      <c r="L10" s="2">
        <v>32032</v>
      </c>
      <c r="M10" s="2" t="s">
        <v>854</v>
      </c>
      <c r="N10">
        <f t="shared" si="0"/>
        <v>12</v>
      </c>
      <c r="O10" t="s">
        <v>737</v>
      </c>
      <c r="P10">
        <f t="shared" si="1"/>
        <v>9</v>
      </c>
      <c r="Q10" t="s">
        <v>737</v>
      </c>
      <c r="R10">
        <f t="shared" si="2"/>
        <v>1987</v>
      </c>
      <c r="S10" s="3">
        <v>32120</v>
      </c>
      <c r="T10" s="5" t="s">
        <v>860</v>
      </c>
    </row>
    <row r="11" spans="1:20" x14ac:dyDescent="0.25">
      <c r="A11" t="s">
        <v>20</v>
      </c>
      <c r="B11" t="s">
        <v>217</v>
      </c>
      <c r="C11" t="s">
        <v>227</v>
      </c>
      <c r="D11" t="s">
        <v>434</v>
      </c>
      <c r="E11" t="s">
        <v>615</v>
      </c>
      <c r="F11" t="s">
        <v>666</v>
      </c>
      <c r="G11" t="s">
        <v>716</v>
      </c>
      <c r="H11" t="s">
        <v>727</v>
      </c>
      <c r="I11" t="s">
        <v>735</v>
      </c>
      <c r="J11" t="s">
        <v>736</v>
      </c>
      <c r="K11" s="2">
        <v>24816</v>
      </c>
      <c r="L11" s="2">
        <v>24816</v>
      </c>
      <c r="M11" s="2" t="s">
        <v>854</v>
      </c>
      <c r="N11">
        <f t="shared" si="0"/>
        <v>10</v>
      </c>
      <c r="O11" t="s">
        <v>737</v>
      </c>
      <c r="P11">
        <f t="shared" si="1"/>
        <v>12</v>
      </c>
      <c r="Q11" t="s">
        <v>737</v>
      </c>
      <c r="R11">
        <f t="shared" si="2"/>
        <v>1967</v>
      </c>
      <c r="S11" s="3">
        <v>24757</v>
      </c>
      <c r="T11" s="5" t="s">
        <v>861</v>
      </c>
    </row>
    <row r="12" spans="1:20" x14ac:dyDescent="0.25">
      <c r="A12" t="s">
        <v>21</v>
      </c>
      <c r="B12" t="s">
        <v>217</v>
      </c>
      <c r="C12" t="s">
        <v>228</v>
      </c>
      <c r="D12" t="s">
        <v>435</v>
      </c>
      <c r="E12" t="s">
        <v>614</v>
      </c>
      <c r="F12" t="s">
        <v>665</v>
      </c>
      <c r="G12" t="s">
        <v>713</v>
      </c>
      <c r="H12" t="s">
        <v>724</v>
      </c>
      <c r="I12" t="s">
        <v>735</v>
      </c>
      <c r="J12" t="s">
        <v>736</v>
      </c>
      <c r="K12" s="2">
        <v>21176</v>
      </c>
      <c r="L12" s="2">
        <v>21176</v>
      </c>
      <c r="M12" s="2" t="s">
        <v>854</v>
      </c>
      <c r="N12">
        <f t="shared" si="0"/>
        <v>22</v>
      </c>
      <c r="O12" t="s">
        <v>737</v>
      </c>
      <c r="P12">
        <f t="shared" si="1"/>
        <v>12</v>
      </c>
      <c r="Q12" t="s">
        <v>737</v>
      </c>
      <c r="R12">
        <f t="shared" si="2"/>
        <v>1957</v>
      </c>
      <c r="S12" t="s">
        <v>741</v>
      </c>
      <c r="T12" s="5" t="s">
        <v>741</v>
      </c>
    </row>
    <row r="13" spans="1:20" x14ac:dyDescent="0.25">
      <c r="A13" t="s">
        <v>22</v>
      </c>
      <c r="B13" t="s">
        <v>217</v>
      </c>
      <c r="C13" t="s">
        <v>229</v>
      </c>
      <c r="D13" t="s">
        <v>436</v>
      </c>
      <c r="E13" t="s">
        <v>614</v>
      </c>
      <c r="F13" t="s">
        <v>665</v>
      </c>
      <c r="G13" t="s">
        <v>713</v>
      </c>
      <c r="H13" t="s">
        <v>724</v>
      </c>
      <c r="I13" t="s">
        <v>735</v>
      </c>
      <c r="J13" t="s">
        <v>736</v>
      </c>
      <c r="K13" s="2">
        <v>30709</v>
      </c>
      <c r="L13" s="2">
        <v>30709</v>
      </c>
      <c r="M13" s="2" t="s">
        <v>854</v>
      </c>
      <c r="N13">
        <f t="shared" si="0"/>
        <v>28</v>
      </c>
      <c r="O13" t="s">
        <v>737</v>
      </c>
      <c r="P13">
        <f t="shared" si="1"/>
        <v>1</v>
      </c>
      <c r="Q13" t="s">
        <v>737</v>
      </c>
      <c r="R13">
        <f t="shared" si="2"/>
        <v>1984</v>
      </c>
      <c r="S13" t="s">
        <v>742</v>
      </c>
      <c r="T13" s="5" t="s">
        <v>742</v>
      </c>
    </row>
    <row r="14" spans="1:20" x14ac:dyDescent="0.25">
      <c r="A14" t="s">
        <v>23</v>
      </c>
      <c r="B14" t="s">
        <v>217</v>
      </c>
      <c r="C14" t="s">
        <v>230</v>
      </c>
      <c r="D14" t="s">
        <v>437</v>
      </c>
      <c r="E14" t="s">
        <v>610</v>
      </c>
      <c r="F14" t="s">
        <v>661</v>
      </c>
      <c r="G14" t="s">
        <v>713</v>
      </c>
      <c r="H14" t="s">
        <v>724</v>
      </c>
      <c r="I14" t="s">
        <v>735</v>
      </c>
      <c r="J14" t="s">
        <v>736</v>
      </c>
      <c r="K14" s="2">
        <v>33668</v>
      </c>
      <c r="L14" s="2">
        <v>33668</v>
      </c>
      <c r="M14" s="2" t="s">
        <v>854</v>
      </c>
      <c r="N14">
        <f t="shared" si="0"/>
        <v>5</v>
      </c>
      <c r="O14" t="s">
        <v>737</v>
      </c>
      <c r="P14">
        <f t="shared" si="1"/>
        <v>3</v>
      </c>
      <c r="Q14" t="s">
        <v>737</v>
      </c>
      <c r="R14">
        <f t="shared" si="2"/>
        <v>1992</v>
      </c>
      <c r="S14" s="3">
        <v>33727</v>
      </c>
      <c r="T14" s="5" t="s">
        <v>862</v>
      </c>
    </row>
    <row r="15" spans="1:20" x14ac:dyDescent="0.25">
      <c r="A15" t="s">
        <v>24</v>
      </c>
      <c r="B15" t="s">
        <v>217</v>
      </c>
      <c r="C15" t="s">
        <v>231</v>
      </c>
      <c r="D15" t="s">
        <v>438</v>
      </c>
      <c r="E15" t="s">
        <v>616</v>
      </c>
      <c r="F15" t="s">
        <v>667</v>
      </c>
      <c r="G15" t="s">
        <v>713</v>
      </c>
      <c r="H15" t="s">
        <v>724</v>
      </c>
      <c r="I15" t="s">
        <v>735</v>
      </c>
      <c r="J15" t="s">
        <v>736</v>
      </c>
      <c r="K15" s="2">
        <v>33236</v>
      </c>
      <c r="L15" s="2">
        <v>33236</v>
      </c>
      <c r="M15" s="2" t="s">
        <v>854</v>
      </c>
      <c r="N15">
        <f t="shared" si="0"/>
        <v>29</v>
      </c>
      <c r="O15" t="s">
        <v>737</v>
      </c>
      <c r="P15">
        <f t="shared" si="1"/>
        <v>12</v>
      </c>
      <c r="Q15" t="s">
        <v>737</v>
      </c>
      <c r="R15">
        <f t="shared" si="2"/>
        <v>1990</v>
      </c>
      <c r="S15" t="s">
        <v>743</v>
      </c>
      <c r="T15" s="5" t="s">
        <v>743</v>
      </c>
    </row>
    <row r="16" spans="1:20" x14ac:dyDescent="0.25">
      <c r="A16" t="s">
        <v>25</v>
      </c>
      <c r="B16" t="s">
        <v>217</v>
      </c>
      <c r="C16" t="s">
        <v>232</v>
      </c>
      <c r="D16" t="s">
        <v>439</v>
      </c>
      <c r="E16" t="s">
        <v>617</v>
      </c>
      <c r="F16" t="s">
        <v>668</v>
      </c>
      <c r="G16" t="s">
        <v>713</v>
      </c>
      <c r="H16" t="s">
        <v>724</v>
      </c>
      <c r="I16" t="s">
        <v>735</v>
      </c>
      <c r="J16" t="s">
        <v>736</v>
      </c>
      <c r="K16" s="2">
        <v>24534</v>
      </c>
      <c r="L16" s="2">
        <v>24534</v>
      </c>
      <c r="M16" s="2" t="s">
        <v>854</v>
      </c>
      <c r="N16">
        <f t="shared" si="0"/>
        <v>3</v>
      </c>
      <c r="O16" t="s">
        <v>737</v>
      </c>
      <c r="P16">
        <f t="shared" si="1"/>
        <v>3</v>
      </c>
      <c r="Q16" t="s">
        <v>737</v>
      </c>
      <c r="R16">
        <f t="shared" si="2"/>
        <v>1967</v>
      </c>
      <c r="S16" s="3">
        <v>24534</v>
      </c>
      <c r="T16" s="5" t="s">
        <v>863</v>
      </c>
    </row>
    <row r="17" spans="1:20" x14ac:dyDescent="0.25">
      <c r="A17" t="s">
        <v>26</v>
      </c>
      <c r="B17" t="s">
        <v>217</v>
      </c>
      <c r="C17" t="s">
        <v>233</v>
      </c>
      <c r="D17" t="s">
        <v>440</v>
      </c>
      <c r="E17" t="s">
        <v>614</v>
      </c>
      <c r="F17" t="s">
        <v>665</v>
      </c>
      <c r="G17" t="s">
        <v>713</v>
      </c>
      <c r="H17" t="s">
        <v>724</v>
      </c>
      <c r="I17" t="s">
        <v>735</v>
      </c>
      <c r="J17" t="s">
        <v>736</v>
      </c>
      <c r="K17" s="2">
        <v>22946</v>
      </c>
      <c r="L17" s="2">
        <v>22946</v>
      </c>
      <c r="M17" s="2" t="s">
        <v>854</v>
      </c>
      <c r="N17">
        <f t="shared" si="0"/>
        <v>27</v>
      </c>
      <c r="O17" t="s">
        <v>737</v>
      </c>
      <c r="P17">
        <f t="shared" si="1"/>
        <v>10</v>
      </c>
      <c r="Q17" t="s">
        <v>737</v>
      </c>
      <c r="R17">
        <f t="shared" si="2"/>
        <v>1962</v>
      </c>
      <c r="S17" t="s">
        <v>744</v>
      </c>
      <c r="T17" s="5" t="s">
        <v>744</v>
      </c>
    </row>
    <row r="18" spans="1:20" x14ac:dyDescent="0.25">
      <c r="A18" t="s">
        <v>27</v>
      </c>
      <c r="B18" t="s">
        <v>217</v>
      </c>
      <c r="C18" t="s">
        <v>234</v>
      </c>
      <c r="D18" t="s">
        <v>441</v>
      </c>
      <c r="E18" t="s">
        <v>614</v>
      </c>
      <c r="F18" t="s">
        <v>665</v>
      </c>
      <c r="G18" t="s">
        <v>713</v>
      </c>
      <c r="H18" t="s">
        <v>724</v>
      </c>
      <c r="I18" t="s">
        <v>735</v>
      </c>
      <c r="J18" t="s">
        <v>736</v>
      </c>
      <c r="K18" s="2">
        <v>32548</v>
      </c>
      <c r="L18" s="2">
        <v>32548</v>
      </c>
      <c r="M18" s="2" t="s">
        <v>854</v>
      </c>
      <c r="N18">
        <f t="shared" si="0"/>
        <v>9</v>
      </c>
      <c r="O18" t="s">
        <v>737</v>
      </c>
      <c r="P18">
        <f t="shared" si="1"/>
        <v>2</v>
      </c>
      <c r="Q18" t="s">
        <v>737</v>
      </c>
      <c r="R18">
        <f t="shared" si="2"/>
        <v>1989</v>
      </c>
      <c r="S18" s="3">
        <v>32753</v>
      </c>
      <c r="T18" s="5" t="s">
        <v>864</v>
      </c>
    </row>
    <row r="19" spans="1:20" x14ac:dyDescent="0.25">
      <c r="A19" t="s">
        <v>28</v>
      </c>
      <c r="B19" t="s">
        <v>217</v>
      </c>
      <c r="C19" t="s">
        <v>235</v>
      </c>
      <c r="D19" t="s">
        <v>442</v>
      </c>
      <c r="E19" t="s">
        <v>614</v>
      </c>
      <c r="F19" t="s">
        <v>665</v>
      </c>
      <c r="G19" t="s">
        <v>713</v>
      </c>
      <c r="H19" t="s">
        <v>724</v>
      </c>
      <c r="I19" t="s">
        <v>735</v>
      </c>
      <c r="J19" t="s">
        <v>736</v>
      </c>
      <c r="K19" s="2">
        <v>26822</v>
      </c>
      <c r="L19" s="2">
        <v>26822</v>
      </c>
      <c r="M19" s="2" t="s">
        <v>854</v>
      </c>
      <c r="N19">
        <f t="shared" si="0"/>
        <v>7</v>
      </c>
      <c r="O19" t="s">
        <v>737</v>
      </c>
      <c r="P19">
        <f t="shared" si="1"/>
        <v>6</v>
      </c>
      <c r="Q19" t="s">
        <v>737</v>
      </c>
      <c r="R19">
        <f t="shared" si="2"/>
        <v>1973</v>
      </c>
      <c r="S19" s="3">
        <v>26851</v>
      </c>
      <c r="T19" s="5" t="s">
        <v>865</v>
      </c>
    </row>
    <row r="20" spans="1:20" x14ac:dyDescent="0.25">
      <c r="A20" t="s">
        <v>29</v>
      </c>
      <c r="B20" t="s">
        <v>217</v>
      </c>
      <c r="C20" t="s">
        <v>236</v>
      </c>
      <c r="D20" t="s">
        <v>443</v>
      </c>
      <c r="E20" t="s">
        <v>613</v>
      </c>
      <c r="F20" t="s">
        <v>664</v>
      </c>
      <c r="G20" t="s">
        <v>713</v>
      </c>
      <c r="H20" t="s">
        <v>724</v>
      </c>
      <c r="I20" t="s">
        <v>735</v>
      </c>
      <c r="J20" t="s">
        <v>736</v>
      </c>
      <c r="K20" s="2">
        <v>26649</v>
      </c>
      <c r="L20" s="2">
        <v>26649</v>
      </c>
      <c r="M20" s="2" t="s">
        <v>854</v>
      </c>
      <c r="N20">
        <f t="shared" si="0"/>
        <v>16</v>
      </c>
      <c r="O20" t="s">
        <v>737</v>
      </c>
      <c r="P20">
        <f t="shared" si="1"/>
        <v>12</v>
      </c>
      <c r="Q20" t="s">
        <v>737</v>
      </c>
      <c r="R20">
        <f t="shared" si="2"/>
        <v>1972</v>
      </c>
      <c r="S20" t="s">
        <v>745</v>
      </c>
      <c r="T20" s="5" t="s">
        <v>745</v>
      </c>
    </row>
    <row r="21" spans="1:20" x14ac:dyDescent="0.25">
      <c r="A21" t="s">
        <v>30</v>
      </c>
      <c r="B21" t="s">
        <v>217</v>
      </c>
      <c r="C21" t="s">
        <v>237</v>
      </c>
      <c r="D21" t="s">
        <v>434</v>
      </c>
      <c r="E21" t="s">
        <v>615</v>
      </c>
      <c r="F21" t="s">
        <v>666</v>
      </c>
      <c r="G21" t="s">
        <v>716</v>
      </c>
      <c r="H21" t="s">
        <v>727</v>
      </c>
      <c r="I21" t="s">
        <v>735</v>
      </c>
      <c r="J21" t="s">
        <v>736</v>
      </c>
      <c r="K21" s="2">
        <v>29208</v>
      </c>
      <c r="L21" s="2">
        <v>29208</v>
      </c>
      <c r="M21" s="2" t="s">
        <v>854</v>
      </c>
      <c r="N21">
        <f t="shared" si="0"/>
        <v>19</v>
      </c>
      <c r="O21" t="s">
        <v>737</v>
      </c>
      <c r="P21">
        <f t="shared" si="1"/>
        <v>12</v>
      </c>
      <c r="Q21" t="s">
        <v>737</v>
      </c>
      <c r="R21">
        <f t="shared" si="2"/>
        <v>1979</v>
      </c>
      <c r="S21" t="s">
        <v>746</v>
      </c>
      <c r="T21" s="5" t="s">
        <v>746</v>
      </c>
    </row>
    <row r="22" spans="1:20" x14ac:dyDescent="0.25">
      <c r="A22" t="s">
        <v>31</v>
      </c>
      <c r="B22" t="s">
        <v>217</v>
      </c>
      <c r="C22" t="s">
        <v>238</v>
      </c>
      <c r="D22" t="s">
        <v>444</v>
      </c>
      <c r="E22" t="s">
        <v>618</v>
      </c>
      <c r="F22" t="s">
        <v>669</v>
      </c>
      <c r="G22" t="s">
        <v>713</v>
      </c>
      <c r="H22" t="s">
        <v>724</v>
      </c>
      <c r="I22" t="s">
        <v>735</v>
      </c>
      <c r="J22" t="s">
        <v>736</v>
      </c>
      <c r="K22" s="2">
        <v>32667</v>
      </c>
      <c r="L22" s="2">
        <v>32667</v>
      </c>
      <c r="M22" s="2" t="s">
        <v>854</v>
      </c>
      <c r="N22">
        <f t="shared" si="0"/>
        <v>8</v>
      </c>
      <c r="O22" t="s">
        <v>737</v>
      </c>
      <c r="P22">
        <f t="shared" si="1"/>
        <v>6</v>
      </c>
      <c r="Q22" t="s">
        <v>737</v>
      </c>
      <c r="R22">
        <f t="shared" si="2"/>
        <v>1989</v>
      </c>
      <c r="S22" s="3">
        <v>32726</v>
      </c>
      <c r="T22" s="5" t="s">
        <v>866</v>
      </c>
    </row>
    <row r="23" spans="1:20" x14ac:dyDescent="0.25">
      <c r="A23" t="s">
        <v>32</v>
      </c>
      <c r="B23" t="s">
        <v>217</v>
      </c>
      <c r="C23" t="s">
        <v>239</v>
      </c>
      <c r="D23" t="s">
        <v>445</v>
      </c>
      <c r="E23" t="s">
        <v>619</v>
      </c>
      <c r="F23" t="s">
        <v>670</v>
      </c>
      <c r="G23" t="s">
        <v>717</v>
      </c>
      <c r="H23" t="s">
        <v>728</v>
      </c>
      <c r="I23" t="s">
        <v>735</v>
      </c>
      <c r="J23" t="s">
        <v>736</v>
      </c>
      <c r="K23" s="2">
        <v>33548</v>
      </c>
      <c r="L23" s="2">
        <v>33548</v>
      </c>
      <c r="M23" s="2" t="s">
        <v>854</v>
      </c>
      <c r="N23">
        <f t="shared" si="0"/>
        <v>6</v>
      </c>
      <c r="O23" t="s">
        <v>737</v>
      </c>
      <c r="P23">
        <f t="shared" si="1"/>
        <v>11</v>
      </c>
      <c r="Q23" t="s">
        <v>737</v>
      </c>
      <c r="R23">
        <f t="shared" si="2"/>
        <v>1991</v>
      </c>
      <c r="S23" s="3">
        <v>33400</v>
      </c>
      <c r="T23" s="5" t="s">
        <v>867</v>
      </c>
    </row>
    <row r="24" spans="1:20" x14ac:dyDescent="0.25">
      <c r="A24" t="s">
        <v>33</v>
      </c>
      <c r="B24" t="s">
        <v>217</v>
      </c>
      <c r="C24" t="s">
        <v>240</v>
      </c>
      <c r="D24" t="s">
        <v>446</v>
      </c>
      <c r="E24" t="s">
        <v>619</v>
      </c>
      <c r="F24" t="s">
        <v>670</v>
      </c>
      <c r="G24" t="s">
        <v>717</v>
      </c>
      <c r="H24" t="s">
        <v>728</v>
      </c>
      <c r="I24" t="s">
        <v>735</v>
      </c>
      <c r="J24" t="s">
        <v>736</v>
      </c>
      <c r="K24" s="2">
        <v>31179</v>
      </c>
      <c r="L24" s="2">
        <v>31179</v>
      </c>
      <c r="M24" s="2" t="s">
        <v>854</v>
      </c>
      <c r="N24">
        <f t="shared" si="0"/>
        <v>12</v>
      </c>
      <c r="O24" t="s">
        <v>737</v>
      </c>
      <c r="P24">
        <f t="shared" si="1"/>
        <v>5</v>
      </c>
      <c r="Q24" t="s">
        <v>737</v>
      </c>
      <c r="R24">
        <f t="shared" si="2"/>
        <v>1985</v>
      </c>
      <c r="S24" s="3">
        <v>31386</v>
      </c>
      <c r="T24" s="5" t="s">
        <v>868</v>
      </c>
    </row>
    <row r="25" spans="1:20" x14ac:dyDescent="0.25">
      <c r="A25" t="s">
        <v>34</v>
      </c>
      <c r="B25" t="s">
        <v>217</v>
      </c>
      <c r="C25" t="s">
        <v>241</v>
      </c>
      <c r="D25" t="s">
        <v>447</v>
      </c>
      <c r="E25" t="s">
        <v>614</v>
      </c>
      <c r="F25" t="s">
        <v>665</v>
      </c>
      <c r="G25" t="s">
        <v>713</v>
      </c>
      <c r="H25" t="s">
        <v>724</v>
      </c>
      <c r="I25" t="s">
        <v>735</v>
      </c>
      <c r="J25" t="s">
        <v>736</v>
      </c>
      <c r="K25" s="2">
        <v>32971</v>
      </c>
      <c r="L25" s="2">
        <v>32971</v>
      </c>
      <c r="M25" s="2" t="s">
        <v>854</v>
      </c>
      <c r="N25">
        <f t="shared" si="0"/>
        <v>8</v>
      </c>
      <c r="O25" t="s">
        <v>737</v>
      </c>
      <c r="P25">
        <f t="shared" si="1"/>
        <v>4</v>
      </c>
      <c r="Q25" t="s">
        <v>737</v>
      </c>
      <c r="R25">
        <f t="shared" si="2"/>
        <v>1990</v>
      </c>
      <c r="S25" s="3">
        <v>33089</v>
      </c>
      <c r="T25" s="5" t="s">
        <v>869</v>
      </c>
    </row>
    <row r="26" spans="1:20" x14ac:dyDescent="0.25">
      <c r="A26" t="s">
        <v>35</v>
      </c>
      <c r="B26" t="s">
        <v>217</v>
      </c>
      <c r="C26" t="s">
        <v>242</v>
      </c>
      <c r="D26" t="s">
        <v>448</v>
      </c>
      <c r="E26" t="s">
        <v>613</v>
      </c>
      <c r="F26" t="s">
        <v>664</v>
      </c>
      <c r="G26" t="s">
        <v>713</v>
      </c>
      <c r="H26" t="s">
        <v>724</v>
      </c>
      <c r="I26" t="s">
        <v>735</v>
      </c>
      <c r="J26" t="s">
        <v>736</v>
      </c>
      <c r="K26" s="2">
        <v>28310</v>
      </c>
      <c r="L26" s="2">
        <v>28310</v>
      </c>
      <c r="M26" s="2" t="s">
        <v>854</v>
      </c>
      <c r="N26">
        <f t="shared" si="0"/>
        <v>4</v>
      </c>
      <c r="O26" t="s">
        <v>737</v>
      </c>
      <c r="P26">
        <f t="shared" si="1"/>
        <v>7</v>
      </c>
      <c r="Q26" t="s">
        <v>737</v>
      </c>
      <c r="R26">
        <f t="shared" si="2"/>
        <v>1977</v>
      </c>
      <c r="S26" s="3">
        <v>28222</v>
      </c>
      <c r="T26" s="5" t="s">
        <v>870</v>
      </c>
    </row>
    <row r="27" spans="1:20" x14ac:dyDescent="0.25">
      <c r="A27" t="s">
        <v>36</v>
      </c>
      <c r="B27" t="s">
        <v>217</v>
      </c>
      <c r="C27" t="s">
        <v>243</v>
      </c>
      <c r="D27" t="s">
        <v>449</v>
      </c>
      <c r="E27" t="s">
        <v>620</v>
      </c>
      <c r="F27" t="s">
        <v>671</v>
      </c>
      <c r="G27" t="s">
        <v>713</v>
      </c>
      <c r="H27" t="s">
        <v>724</v>
      </c>
      <c r="I27" t="s">
        <v>735</v>
      </c>
      <c r="J27" t="s">
        <v>736</v>
      </c>
      <c r="K27" s="2">
        <v>33042</v>
      </c>
      <c r="L27" s="2">
        <v>33042</v>
      </c>
      <c r="M27" s="2" t="s">
        <v>854</v>
      </c>
      <c r="N27">
        <f t="shared" si="0"/>
        <v>18</v>
      </c>
      <c r="O27" t="s">
        <v>737</v>
      </c>
      <c r="P27">
        <f t="shared" si="1"/>
        <v>6</v>
      </c>
      <c r="Q27" t="s">
        <v>737</v>
      </c>
      <c r="R27">
        <f t="shared" si="2"/>
        <v>1990</v>
      </c>
      <c r="S27" t="s">
        <v>747</v>
      </c>
      <c r="T27" s="5" t="s">
        <v>747</v>
      </c>
    </row>
    <row r="28" spans="1:20" x14ac:dyDescent="0.25">
      <c r="A28" t="s">
        <v>37</v>
      </c>
      <c r="B28" t="s">
        <v>217</v>
      </c>
      <c r="C28" t="s">
        <v>244</v>
      </c>
      <c r="D28" t="s">
        <v>450</v>
      </c>
      <c r="E28" t="s">
        <v>618</v>
      </c>
      <c r="F28" t="s">
        <v>669</v>
      </c>
      <c r="G28" t="s">
        <v>713</v>
      </c>
      <c r="H28" t="s">
        <v>724</v>
      </c>
      <c r="I28" t="s">
        <v>735</v>
      </c>
      <c r="J28" t="s">
        <v>736</v>
      </c>
      <c r="K28" s="2">
        <v>31196</v>
      </c>
      <c r="L28" s="2">
        <v>31196</v>
      </c>
      <c r="M28" s="2" t="s">
        <v>854</v>
      </c>
      <c r="N28">
        <f t="shared" si="0"/>
        <v>29</v>
      </c>
      <c r="O28" t="s">
        <v>737</v>
      </c>
      <c r="P28">
        <f t="shared" si="1"/>
        <v>5</v>
      </c>
      <c r="Q28" t="s">
        <v>737</v>
      </c>
      <c r="R28">
        <f t="shared" si="2"/>
        <v>1985</v>
      </c>
      <c r="S28" t="s">
        <v>748</v>
      </c>
      <c r="T28" s="5" t="s">
        <v>748</v>
      </c>
    </row>
    <row r="29" spans="1:20" x14ac:dyDescent="0.25">
      <c r="A29" t="s">
        <v>38</v>
      </c>
      <c r="B29" t="s">
        <v>217</v>
      </c>
      <c r="C29" t="s">
        <v>245</v>
      </c>
      <c r="D29" t="s">
        <v>451</v>
      </c>
      <c r="E29" t="s">
        <v>614</v>
      </c>
      <c r="F29" t="s">
        <v>665</v>
      </c>
      <c r="G29" t="s">
        <v>713</v>
      </c>
      <c r="H29" t="s">
        <v>724</v>
      </c>
      <c r="I29" t="s">
        <v>735</v>
      </c>
      <c r="J29" t="s">
        <v>736</v>
      </c>
      <c r="K29" s="2">
        <v>26967</v>
      </c>
      <c r="L29" s="2">
        <v>26967</v>
      </c>
      <c r="M29" s="2" t="s">
        <v>854</v>
      </c>
      <c r="N29">
        <f t="shared" si="0"/>
        <v>30</v>
      </c>
      <c r="O29" t="s">
        <v>737</v>
      </c>
      <c r="P29">
        <f t="shared" si="1"/>
        <v>10</v>
      </c>
      <c r="Q29" t="s">
        <v>737</v>
      </c>
      <c r="R29">
        <f t="shared" si="2"/>
        <v>1973</v>
      </c>
      <c r="S29" t="s">
        <v>749</v>
      </c>
      <c r="T29" s="5" t="s">
        <v>749</v>
      </c>
    </row>
    <row r="30" spans="1:20" x14ac:dyDescent="0.25">
      <c r="A30" t="s">
        <v>39</v>
      </c>
      <c r="B30" t="s">
        <v>217</v>
      </c>
      <c r="C30" t="s">
        <v>246</v>
      </c>
      <c r="D30" t="s">
        <v>452</v>
      </c>
      <c r="E30" t="s">
        <v>621</v>
      </c>
      <c r="F30" t="s">
        <v>672</v>
      </c>
      <c r="G30" t="s">
        <v>718</v>
      </c>
      <c r="H30" t="s">
        <v>729</v>
      </c>
      <c r="I30" t="s">
        <v>735</v>
      </c>
      <c r="J30" t="s">
        <v>736</v>
      </c>
      <c r="K30" s="2">
        <v>32992</v>
      </c>
      <c r="L30" s="2">
        <v>32992</v>
      </c>
      <c r="M30" s="2" t="s">
        <v>854</v>
      </c>
      <c r="N30">
        <f t="shared" si="0"/>
        <v>29</v>
      </c>
      <c r="O30" t="s">
        <v>737</v>
      </c>
      <c r="P30">
        <f t="shared" si="1"/>
        <v>4</v>
      </c>
      <c r="Q30" t="s">
        <v>737</v>
      </c>
      <c r="R30">
        <f t="shared" si="2"/>
        <v>1990</v>
      </c>
      <c r="S30" t="s">
        <v>750</v>
      </c>
      <c r="T30" s="5" t="s">
        <v>750</v>
      </c>
    </row>
    <row r="31" spans="1:20" x14ac:dyDescent="0.25">
      <c r="A31" t="s">
        <v>40</v>
      </c>
      <c r="B31" t="s">
        <v>217</v>
      </c>
      <c r="C31" t="s">
        <v>247</v>
      </c>
      <c r="D31" t="s">
        <v>453</v>
      </c>
      <c r="E31" t="s">
        <v>621</v>
      </c>
      <c r="F31" t="s">
        <v>672</v>
      </c>
      <c r="G31" t="s">
        <v>718</v>
      </c>
      <c r="H31" t="s">
        <v>729</v>
      </c>
      <c r="I31" t="s">
        <v>735</v>
      </c>
      <c r="J31" t="s">
        <v>736</v>
      </c>
      <c r="K31" s="2">
        <v>22773</v>
      </c>
      <c r="L31" s="2">
        <v>22773</v>
      </c>
      <c r="M31" s="2" t="s">
        <v>854</v>
      </c>
      <c r="N31">
        <f t="shared" si="0"/>
        <v>7</v>
      </c>
      <c r="O31" t="s">
        <v>737</v>
      </c>
      <c r="P31">
        <f t="shared" si="1"/>
        <v>5</v>
      </c>
      <c r="Q31" t="s">
        <v>737</v>
      </c>
      <c r="R31">
        <f t="shared" si="2"/>
        <v>1962</v>
      </c>
      <c r="S31" s="3">
        <v>22832</v>
      </c>
      <c r="T31" s="5" t="s">
        <v>871</v>
      </c>
    </row>
    <row r="32" spans="1:20" x14ac:dyDescent="0.25">
      <c r="A32" t="s">
        <v>41</v>
      </c>
      <c r="B32" t="s">
        <v>217</v>
      </c>
      <c r="C32" t="s">
        <v>248</v>
      </c>
      <c r="D32" t="s">
        <v>454</v>
      </c>
      <c r="E32" t="s">
        <v>611</v>
      </c>
      <c r="F32" t="s">
        <v>662</v>
      </c>
      <c r="G32" t="s">
        <v>714</v>
      </c>
      <c r="H32" t="s">
        <v>725</v>
      </c>
      <c r="I32" t="s">
        <v>735</v>
      </c>
      <c r="J32" t="s">
        <v>736</v>
      </c>
      <c r="K32" s="2">
        <v>28031</v>
      </c>
      <c r="L32" s="2">
        <v>28031</v>
      </c>
      <c r="M32" s="2" t="s">
        <v>854</v>
      </c>
      <c r="N32">
        <f t="shared" si="0"/>
        <v>28</v>
      </c>
      <c r="O32" t="s">
        <v>737</v>
      </c>
      <c r="P32">
        <f t="shared" si="1"/>
        <v>9</v>
      </c>
      <c r="Q32" t="s">
        <v>737</v>
      </c>
      <c r="R32">
        <f t="shared" si="2"/>
        <v>1976</v>
      </c>
      <c r="S32" t="s">
        <v>751</v>
      </c>
      <c r="T32" s="5" t="s">
        <v>751</v>
      </c>
    </row>
    <row r="33" spans="1:20" x14ac:dyDescent="0.25">
      <c r="A33" t="s">
        <v>42</v>
      </c>
      <c r="B33" t="s">
        <v>217</v>
      </c>
      <c r="C33" t="s">
        <v>249</v>
      </c>
      <c r="D33" t="s">
        <v>455</v>
      </c>
      <c r="E33" t="s">
        <v>622</v>
      </c>
      <c r="F33" t="s">
        <v>673</v>
      </c>
      <c r="G33" t="s">
        <v>719</v>
      </c>
      <c r="H33" t="s">
        <v>730</v>
      </c>
      <c r="I33" t="s">
        <v>735</v>
      </c>
      <c r="J33" t="s">
        <v>736</v>
      </c>
      <c r="K33" s="2">
        <v>32098</v>
      </c>
      <c r="L33" s="2">
        <v>32098</v>
      </c>
      <c r="M33" s="2" t="s">
        <v>854</v>
      </c>
      <c r="N33">
        <f t="shared" si="0"/>
        <v>17</v>
      </c>
      <c r="O33" t="s">
        <v>737</v>
      </c>
      <c r="P33">
        <f t="shared" si="1"/>
        <v>11</v>
      </c>
      <c r="Q33" t="s">
        <v>737</v>
      </c>
      <c r="R33">
        <f t="shared" si="2"/>
        <v>1987</v>
      </c>
      <c r="S33" t="s">
        <v>752</v>
      </c>
      <c r="T33" s="5" t="s">
        <v>752</v>
      </c>
    </row>
    <row r="34" spans="1:20" x14ac:dyDescent="0.25">
      <c r="A34" t="s">
        <v>43</v>
      </c>
      <c r="B34" t="s">
        <v>217</v>
      </c>
      <c r="C34" t="s">
        <v>250</v>
      </c>
      <c r="D34" t="s">
        <v>456</v>
      </c>
      <c r="E34" t="s">
        <v>613</v>
      </c>
      <c r="F34" t="s">
        <v>664</v>
      </c>
      <c r="G34" t="s">
        <v>713</v>
      </c>
      <c r="H34" t="s">
        <v>724</v>
      </c>
      <c r="I34" t="s">
        <v>735</v>
      </c>
      <c r="J34" t="s">
        <v>736</v>
      </c>
      <c r="K34" s="2">
        <v>30918</v>
      </c>
      <c r="L34" s="2">
        <v>30918</v>
      </c>
      <c r="M34" s="2" t="s">
        <v>854</v>
      </c>
      <c r="N34">
        <f t="shared" si="0"/>
        <v>24</v>
      </c>
      <c r="O34" t="s">
        <v>737</v>
      </c>
      <c r="P34">
        <f t="shared" si="1"/>
        <v>8</v>
      </c>
      <c r="Q34" t="s">
        <v>737</v>
      </c>
      <c r="R34">
        <f t="shared" si="2"/>
        <v>1984</v>
      </c>
      <c r="S34" t="s">
        <v>753</v>
      </c>
      <c r="T34" s="5" t="s">
        <v>753</v>
      </c>
    </row>
    <row r="35" spans="1:20" x14ac:dyDescent="0.25">
      <c r="A35" t="s">
        <v>44</v>
      </c>
      <c r="B35" t="s">
        <v>217</v>
      </c>
      <c r="C35" t="s">
        <v>251</v>
      </c>
      <c r="D35" t="s">
        <v>457</v>
      </c>
      <c r="E35" t="s">
        <v>613</v>
      </c>
      <c r="F35" t="s">
        <v>664</v>
      </c>
      <c r="G35" t="s">
        <v>713</v>
      </c>
      <c r="H35" t="s">
        <v>724</v>
      </c>
      <c r="I35" t="s">
        <v>735</v>
      </c>
      <c r="J35" t="s">
        <v>736</v>
      </c>
      <c r="K35" s="2">
        <v>31028</v>
      </c>
      <c r="L35" s="2">
        <v>31028</v>
      </c>
      <c r="M35" s="2" t="s">
        <v>854</v>
      </c>
      <c r="N35">
        <f t="shared" si="0"/>
        <v>12</v>
      </c>
      <c r="O35" t="s">
        <v>737</v>
      </c>
      <c r="P35">
        <f t="shared" si="1"/>
        <v>12</v>
      </c>
      <c r="Q35" t="s">
        <v>737</v>
      </c>
      <c r="R35">
        <f t="shared" si="2"/>
        <v>1984</v>
      </c>
      <c r="S35" s="3">
        <v>31028</v>
      </c>
      <c r="T35" s="5" t="s">
        <v>872</v>
      </c>
    </row>
    <row r="36" spans="1:20" x14ac:dyDescent="0.25">
      <c r="A36" t="s">
        <v>45</v>
      </c>
      <c r="B36" t="s">
        <v>217</v>
      </c>
      <c r="C36" t="s">
        <v>252</v>
      </c>
      <c r="D36" t="s">
        <v>458</v>
      </c>
      <c r="E36" t="s">
        <v>623</v>
      </c>
      <c r="F36" t="s">
        <v>674</v>
      </c>
      <c r="G36" t="s">
        <v>720</v>
      </c>
      <c r="H36" t="s">
        <v>731</v>
      </c>
      <c r="I36" t="s">
        <v>735</v>
      </c>
      <c r="J36" t="s">
        <v>736</v>
      </c>
      <c r="K36" s="2">
        <v>25446</v>
      </c>
      <c r="L36" s="2">
        <v>25446</v>
      </c>
      <c r="M36" s="2" t="s">
        <v>854</v>
      </c>
      <c r="N36">
        <f t="shared" si="0"/>
        <v>31</v>
      </c>
      <c r="O36" t="s">
        <v>737</v>
      </c>
      <c r="P36">
        <f t="shared" si="1"/>
        <v>8</v>
      </c>
      <c r="Q36" t="s">
        <v>737</v>
      </c>
      <c r="R36">
        <f t="shared" si="2"/>
        <v>1969</v>
      </c>
      <c r="S36" t="s">
        <v>754</v>
      </c>
      <c r="T36" s="5" t="s">
        <v>754</v>
      </c>
    </row>
    <row r="37" spans="1:20" x14ac:dyDescent="0.25">
      <c r="A37" t="s">
        <v>46</v>
      </c>
      <c r="B37" t="s">
        <v>217</v>
      </c>
      <c r="C37" t="s">
        <v>253</v>
      </c>
      <c r="D37" t="s">
        <v>459</v>
      </c>
      <c r="E37" t="s">
        <v>613</v>
      </c>
      <c r="F37" t="s">
        <v>664</v>
      </c>
      <c r="G37" t="s">
        <v>713</v>
      </c>
      <c r="H37" t="s">
        <v>724</v>
      </c>
      <c r="I37" t="s">
        <v>735</v>
      </c>
      <c r="J37" t="s">
        <v>736</v>
      </c>
      <c r="K37" s="2">
        <v>34168</v>
      </c>
      <c r="L37" s="2">
        <v>34168</v>
      </c>
      <c r="M37" s="2" t="s">
        <v>854</v>
      </c>
      <c r="N37">
        <f t="shared" si="0"/>
        <v>18</v>
      </c>
      <c r="O37" t="s">
        <v>737</v>
      </c>
      <c r="P37">
        <f t="shared" si="1"/>
        <v>7</v>
      </c>
      <c r="Q37" t="s">
        <v>737</v>
      </c>
      <c r="R37">
        <f t="shared" si="2"/>
        <v>1993</v>
      </c>
      <c r="S37" t="s">
        <v>755</v>
      </c>
      <c r="T37" s="5" t="s">
        <v>755</v>
      </c>
    </row>
    <row r="38" spans="1:20" x14ac:dyDescent="0.25">
      <c r="A38" t="s">
        <v>47</v>
      </c>
      <c r="B38" t="s">
        <v>217</v>
      </c>
      <c r="C38" t="s">
        <v>254</v>
      </c>
      <c r="D38" t="s">
        <v>460</v>
      </c>
      <c r="E38" t="s">
        <v>614</v>
      </c>
      <c r="F38" t="s">
        <v>665</v>
      </c>
      <c r="G38" t="s">
        <v>713</v>
      </c>
      <c r="H38" t="s">
        <v>724</v>
      </c>
      <c r="I38" t="s">
        <v>735</v>
      </c>
      <c r="J38" t="s">
        <v>736</v>
      </c>
      <c r="K38" s="2">
        <v>18440</v>
      </c>
      <c r="L38" s="2">
        <v>18440</v>
      </c>
      <c r="M38" s="2" t="s">
        <v>854</v>
      </c>
      <c r="N38">
        <f t="shared" si="0"/>
        <v>26</v>
      </c>
      <c r="O38" t="s">
        <v>737</v>
      </c>
      <c r="P38">
        <f t="shared" si="1"/>
        <v>6</v>
      </c>
      <c r="Q38" t="s">
        <v>737</v>
      </c>
      <c r="R38">
        <f t="shared" si="2"/>
        <v>1950</v>
      </c>
      <c r="S38" t="s">
        <v>756</v>
      </c>
      <c r="T38" s="5" t="s">
        <v>756</v>
      </c>
    </row>
    <row r="39" spans="1:20" x14ac:dyDescent="0.25">
      <c r="A39" t="s">
        <v>48</v>
      </c>
      <c r="B39" t="s">
        <v>217</v>
      </c>
      <c r="C39" t="s">
        <v>255</v>
      </c>
      <c r="D39" t="s">
        <v>461</v>
      </c>
      <c r="E39" t="s">
        <v>613</v>
      </c>
      <c r="F39" t="s">
        <v>664</v>
      </c>
      <c r="G39" t="s">
        <v>713</v>
      </c>
      <c r="H39" t="s">
        <v>724</v>
      </c>
      <c r="I39" t="s">
        <v>735</v>
      </c>
      <c r="J39" t="s">
        <v>736</v>
      </c>
      <c r="K39" s="2">
        <v>31117</v>
      </c>
      <c r="L39" s="2">
        <v>31117</v>
      </c>
      <c r="M39" s="2" t="s">
        <v>854</v>
      </c>
      <c r="N39">
        <f t="shared" si="0"/>
        <v>11</v>
      </c>
      <c r="O39" t="s">
        <v>737</v>
      </c>
      <c r="P39">
        <f t="shared" si="1"/>
        <v>3</v>
      </c>
      <c r="Q39" t="s">
        <v>737</v>
      </c>
      <c r="R39">
        <f t="shared" si="2"/>
        <v>1985</v>
      </c>
      <c r="S39" s="3">
        <v>31354</v>
      </c>
      <c r="T39" s="5" t="s">
        <v>873</v>
      </c>
    </row>
    <row r="40" spans="1:20" x14ac:dyDescent="0.25">
      <c r="A40" t="s">
        <v>49</v>
      </c>
      <c r="B40" t="s">
        <v>217</v>
      </c>
      <c r="C40" t="s">
        <v>256</v>
      </c>
      <c r="D40" t="s">
        <v>462</v>
      </c>
      <c r="E40" t="s">
        <v>617</v>
      </c>
      <c r="F40" t="s">
        <v>668</v>
      </c>
      <c r="G40" t="s">
        <v>713</v>
      </c>
      <c r="H40" t="s">
        <v>724</v>
      </c>
      <c r="I40" t="s">
        <v>735</v>
      </c>
      <c r="J40" t="s">
        <v>736</v>
      </c>
      <c r="K40" s="2">
        <v>22601</v>
      </c>
      <c r="L40" s="2">
        <v>22601</v>
      </c>
      <c r="M40" s="2" t="s">
        <v>854</v>
      </c>
      <c r="N40">
        <f t="shared" si="0"/>
        <v>16</v>
      </c>
      <c r="O40" t="s">
        <v>737</v>
      </c>
      <c r="P40">
        <f t="shared" si="1"/>
        <v>11</v>
      </c>
      <c r="Q40" t="s">
        <v>737</v>
      </c>
      <c r="R40">
        <f t="shared" si="2"/>
        <v>1961</v>
      </c>
      <c r="S40" t="s">
        <v>757</v>
      </c>
      <c r="T40" s="5" t="s">
        <v>757</v>
      </c>
    </row>
    <row r="41" spans="1:20" x14ac:dyDescent="0.25">
      <c r="A41" t="s">
        <v>50</v>
      </c>
      <c r="B41" t="s">
        <v>217</v>
      </c>
      <c r="C41" t="s">
        <v>257</v>
      </c>
      <c r="D41" t="s">
        <v>463</v>
      </c>
      <c r="E41" t="s">
        <v>624</v>
      </c>
      <c r="F41" t="s">
        <v>675</v>
      </c>
      <c r="G41" t="s">
        <v>720</v>
      </c>
      <c r="H41" t="s">
        <v>731</v>
      </c>
      <c r="I41" t="s">
        <v>735</v>
      </c>
      <c r="J41" t="s">
        <v>736</v>
      </c>
      <c r="K41" s="2">
        <v>24228</v>
      </c>
      <c r="L41" s="2">
        <v>24228</v>
      </c>
      <c r="M41" s="2" t="s">
        <v>854</v>
      </c>
      <c r="N41">
        <f t="shared" si="0"/>
        <v>1</v>
      </c>
      <c r="O41" t="s">
        <v>737</v>
      </c>
      <c r="P41">
        <f t="shared" si="1"/>
        <v>5</v>
      </c>
      <c r="Q41" t="s">
        <v>737</v>
      </c>
      <c r="R41">
        <f t="shared" si="2"/>
        <v>1966</v>
      </c>
      <c r="S41" s="3">
        <v>24112</v>
      </c>
      <c r="T41" s="5" t="s">
        <v>874</v>
      </c>
    </row>
    <row r="42" spans="1:20" x14ac:dyDescent="0.25">
      <c r="A42" t="s">
        <v>51</v>
      </c>
      <c r="B42" t="s">
        <v>217</v>
      </c>
      <c r="C42" t="s">
        <v>258</v>
      </c>
      <c r="D42" t="s">
        <v>434</v>
      </c>
      <c r="E42" t="s">
        <v>612</v>
      </c>
      <c r="F42" t="s">
        <v>663</v>
      </c>
      <c r="G42" t="s">
        <v>715</v>
      </c>
      <c r="H42" t="s">
        <v>726</v>
      </c>
      <c r="I42" t="s">
        <v>735</v>
      </c>
      <c r="J42" t="s">
        <v>736</v>
      </c>
      <c r="K42" s="2">
        <v>30483</v>
      </c>
      <c r="L42" s="2">
        <v>30483</v>
      </c>
      <c r="M42" s="2" t="s">
        <v>854</v>
      </c>
      <c r="N42">
        <f t="shared" si="0"/>
        <v>16</v>
      </c>
      <c r="O42" t="s">
        <v>737</v>
      </c>
      <c r="P42">
        <f t="shared" si="1"/>
        <v>6</v>
      </c>
      <c r="Q42" t="s">
        <v>737</v>
      </c>
      <c r="R42">
        <f t="shared" si="2"/>
        <v>1983</v>
      </c>
      <c r="S42" t="s">
        <v>758</v>
      </c>
      <c r="T42" s="5" t="s">
        <v>758</v>
      </c>
    </row>
    <row r="43" spans="1:20" x14ac:dyDescent="0.25">
      <c r="A43" t="s">
        <v>52</v>
      </c>
      <c r="B43" t="s">
        <v>217</v>
      </c>
      <c r="C43" t="s">
        <v>259</v>
      </c>
      <c r="D43" t="s">
        <v>464</v>
      </c>
      <c r="E43" t="s">
        <v>618</v>
      </c>
      <c r="F43" t="s">
        <v>669</v>
      </c>
      <c r="G43" t="s">
        <v>713</v>
      </c>
      <c r="H43" t="s">
        <v>724</v>
      </c>
      <c r="I43" t="s">
        <v>735</v>
      </c>
      <c r="J43" t="s">
        <v>736</v>
      </c>
      <c r="K43" s="2">
        <v>25616</v>
      </c>
      <c r="L43" s="2">
        <v>25616</v>
      </c>
      <c r="M43" s="2" t="s">
        <v>854</v>
      </c>
      <c r="N43">
        <f t="shared" si="0"/>
        <v>17</v>
      </c>
      <c r="O43" t="s">
        <v>737</v>
      </c>
      <c r="P43">
        <f t="shared" si="1"/>
        <v>2</v>
      </c>
      <c r="Q43" t="s">
        <v>737</v>
      </c>
      <c r="R43">
        <f t="shared" si="2"/>
        <v>1970</v>
      </c>
      <c r="S43" t="s">
        <v>759</v>
      </c>
      <c r="T43" s="5" t="s">
        <v>759</v>
      </c>
    </row>
    <row r="44" spans="1:20" x14ac:dyDescent="0.25">
      <c r="A44" t="s">
        <v>53</v>
      </c>
      <c r="B44" t="s">
        <v>217</v>
      </c>
      <c r="C44" t="s">
        <v>260</v>
      </c>
      <c r="D44" t="s">
        <v>465</v>
      </c>
      <c r="E44" t="s">
        <v>617</v>
      </c>
      <c r="F44" t="s">
        <v>668</v>
      </c>
      <c r="G44" t="s">
        <v>713</v>
      </c>
      <c r="H44" t="s">
        <v>724</v>
      </c>
      <c r="I44" t="s">
        <v>735</v>
      </c>
      <c r="J44" t="s">
        <v>736</v>
      </c>
      <c r="K44" s="2">
        <v>24360</v>
      </c>
      <c r="L44" s="2">
        <v>24360</v>
      </c>
      <c r="M44" s="2" t="s">
        <v>854</v>
      </c>
      <c r="N44">
        <f t="shared" si="0"/>
        <v>10</v>
      </c>
      <c r="O44" t="s">
        <v>737</v>
      </c>
      <c r="P44">
        <f t="shared" si="1"/>
        <v>9</v>
      </c>
      <c r="Q44" t="s">
        <v>737</v>
      </c>
      <c r="R44">
        <f t="shared" si="2"/>
        <v>1966</v>
      </c>
      <c r="S44" s="3">
        <v>24389</v>
      </c>
      <c r="T44" s="5" t="s">
        <v>875</v>
      </c>
    </row>
    <row r="45" spans="1:20" x14ac:dyDescent="0.25">
      <c r="A45" t="s">
        <v>54</v>
      </c>
      <c r="B45" t="s">
        <v>217</v>
      </c>
      <c r="C45" t="s">
        <v>261</v>
      </c>
      <c r="D45" t="s">
        <v>466</v>
      </c>
      <c r="E45" t="s">
        <v>615</v>
      </c>
      <c r="F45" t="s">
        <v>666</v>
      </c>
      <c r="G45" t="s">
        <v>716</v>
      </c>
      <c r="H45" t="s">
        <v>727</v>
      </c>
      <c r="I45" t="s">
        <v>735</v>
      </c>
      <c r="J45" t="s">
        <v>736</v>
      </c>
      <c r="K45" s="2">
        <v>33759</v>
      </c>
      <c r="L45" s="2">
        <v>33759</v>
      </c>
      <c r="M45" s="2" t="s">
        <v>854</v>
      </c>
      <c r="N45">
        <f t="shared" si="0"/>
        <v>4</v>
      </c>
      <c r="O45" t="s">
        <v>737</v>
      </c>
      <c r="P45">
        <f t="shared" si="1"/>
        <v>6</v>
      </c>
      <c r="Q45" t="s">
        <v>737</v>
      </c>
      <c r="R45">
        <f t="shared" si="2"/>
        <v>1992</v>
      </c>
      <c r="S45" s="3">
        <v>33700</v>
      </c>
      <c r="T45" s="5" t="s">
        <v>876</v>
      </c>
    </row>
    <row r="46" spans="1:20" x14ac:dyDescent="0.25">
      <c r="A46" t="s">
        <v>55</v>
      </c>
      <c r="B46" t="s">
        <v>217</v>
      </c>
      <c r="C46" t="s">
        <v>262</v>
      </c>
      <c r="D46" t="s">
        <v>467</v>
      </c>
      <c r="E46" t="s">
        <v>618</v>
      </c>
      <c r="F46" t="s">
        <v>669</v>
      </c>
      <c r="G46" t="s">
        <v>713</v>
      </c>
      <c r="H46" t="s">
        <v>724</v>
      </c>
      <c r="I46" t="s">
        <v>735</v>
      </c>
      <c r="J46" t="s">
        <v>736</v>
      </c>
      <c r="K46" s="2">
        <v>22703</v>
      </c>
      <c r="L46" s="2">
        <v>22703</v>
      </c>
      <c r="M46" s="2" t="s">
        <v>854</v>
      </c>
      <c r="N46">
        <f t="shared" si="0"/>
        <v>26</v>
      </c>
      <c r="O46" t="s">
        <v>737</v>
      </c>
      <c r="P46">
        <f t="shared" si="1"/>
        <v>2</v>
      </c>
      <c r="Q46" t="s">
        <v>737</v>
      </c>
      <c r="R46">
        <f t="shared" si="2"/>
        <v>1962</v>
      </c>
      <c r="S46" t="s">
        <v>760</v>
      </c>
      <c r="T46" s="5" t="s">
        <v>760</v>
      </c>
    </row>
    <row r="47" spans="1:20" x14ac:dyDescent="0.25">
      <c r="A47" t="s">
        <v>56</v>
      </c>
      <c r="B47" t="s">
        <v>217</v>
      </c>
      <c r="C47" t="s">
        <v>263</v>
      </c>
      <c r="D47" t="s">
        <v>468</v>
      </c>
      <c r="E47" t="s">
        <v>618</v>
      </c>
      <c r="F47" t="s">
        <v>669</v>
      </c>
      <c r="G47" t="s">
        <v>713</v>
      </c>
      <c r="H47" t="s">
        <v>724</v>
      </c>
      <c r="I47" t="s">
        <v>735</v>
      </c>
      <c r="J47" t="s">
        <v>736</v>
      </c>
      <c r="K47" s="2">
        <v>28596</v>
      </c>
      <c r="L47" s="2">
        <v>28596</v>
      </c>
      <c r="M47" s="2" t="s">
        <v>854</v>
      </c>
      <c r="N47">
        <f t="shared" si="0"/>
        <v>16</v>
      </c>
      <c r="O47" t="s">
        <v>737</v>
      </c>
      <c r="P47">
        <f t="shared" si="1"/>
        <v>4</v>
      </c>
      <c r="Q47" t="s">
        <v>737</v>
      </c>
      <c r="R47">
        <f t="shared" si="2"/>
        <v>1978</v>
      </c>
      <c r="S47" t="s">
        <v>761</v>
      </c>
      <c r="T47" s="5" t="s">
        <v>761</v>
      </c>
    </row>
    <row r="48" spans="1:20" x14ac:dyDescent="0.25">
      <c r="A48" t="s">
        <v>57</v>
      </c>
      <c r="B48" t="s">
        <v>217</v>
      </c>
      <c r="C48" t="s">
        <v>264</v>
      </c>
      <c r="D48" t="s">
        <v>469</v>
      </c>
      <c r="E48" t="s">
        <v>621</v>
      </c>
      <c r="F48" t="s">
        <v>672</v>
      </c>
      <c r="G48" t="s">
        <v>718</v>
      </c>
      <c r="H48" t="s">
        <v>729</v>
      </c>
      <c r="I48" t="s">
        <v>735</v>
      </c>
      <c r="J48" t="s">
        <v>736</v>
      </c>
      <c r="K48" s="2">
        <v>24387</v>
      </c>
      <c r="L48" s="2">
        <v>24387</v>
      </c>
      <c r="M48" s="2" t="s">
        <v>854</v>
      </c>
      <c r="N48">
        <f t="shared" si="0"/>
        <v>7</v>
      </c>
      <c r="O48" t="s">
        <v>737</v>
      </c>
      <c r="P48">
        <f t="shared" si="1"/>
        <v>10</v>
      </c>
      <c r="Q48" t="s">
        <v>737</v>
      </c>
      <c r="R48">
        <f t="shared" si="2"/>
        <v>1966</v>
      </c>
      <c r="S48" s="3">
        <v>24298</v>
      </c>
      <c r="T48" s="5" t="s">
        <v>877</v>
      </c>
    </row>
    <row r="49" spans="1:20" x14ac:dyDescent="0.25">
      <c r="A49" t="s">
        <v>58</v>
      </c>
      <c r="B49" t="s">
        <v>217</v>
      </c>
      <c r="C49" t="s">
        <v>265</v>
      </c>
      <c r="D49" t="s">
        <v>470</v>
      </c>
      <c r="E49" t="s">
        <v>618</v>
      </c>
      <c r="F49" t="s">
        <v>669</v>
      </c>
      <c r="G49" t="s">
        <v>713</v>
      </c>
      <c r="H49" t="s">
        <v>724</v>
      </c>
      <c r="I49" t="s">
        <v>735</v>
      </c>
      <c r="J49" t="s">
        <v>736</v>
      </c>
      <c r="K49" s="2">
        <v>23624</v>
      </c>
      <c r="L49" s="2">
        <v>23624</v>
      </c>
      <c r="M49" s="2" t="s">
        <v>854</v>
      </c>
      <c r="N49">
        <f t="shared" si="0"/>
        <v>4</v>
      </c>
      <c r="O49" t="s">
        <v>737</v>
      </c>
      <c r="P49">
        <f t="shared" si="1"/>
        <v>9</v>
      </c>
      <c r="Q49" t="s">
        <v>737</v>
      </c>
      <c r="R49">
        <f t="shared" si="2"/>
        <v>1964</v>
      </c>
      <c r="S49" s="3">
        <v>23476</v>
      </c>
      <c r="T49" s="5" t="s">
        <v>878</v>
      </c>
    </row>
    <row r="50" spans="1:20" x14ac:dyDescent="0.25">
      <c r="A50" t="s">
        <v>59</v>
      </c>
      <c r="B50" t="s">
        <v>217</v>
      </c>
      <c r="C50" t="s">
        <v>266</v>
      </c>
      <c r="D50" t="s">
        <v>471</v>
      </c>
      <c r="E50" t="s">
        <v>618</v>
      </c>
      <c r="F50" t="s">
        <v>669</v>
      </c>
      <c r="G50" t="s">
        <v>713</v>
      </c>
      <c r="H50" t="s">
        <v>724</v>
      </c>
      <c r="I50" t="s">
        <v>735</v>
      </c>
      <c r="J50" t="s">
        <v>736</v>
      </c>
      <c r="K50" s="2">
        <v>29680</v>
      </c>
      <c r="L50" s="2">
        <v>29680</v>
      </c>
      <c r="M50" s="2" t="s">
        <v>854</v>
      </c>
      <c r="N50">
        <f t="shared" si="0"/>
        <v>4</v>
      </c>
      <c r="O50" t="s">
        <v>737</v>
      </c>
      <c r="P50">
        <f t="shared" si="1"/>
        <v>4</v>
      </c>
      <c r="Q50" t="s">
        <v>737</v>
      </c>
      <c r="R50">
        <f t="shared" si="2"/>
        <v>1981</v>
      </c>
      <c r="S50" s="3">
        <v>29680</v>
      </c>
      <c r="T50" s="5" t="s">
        <v>879</v>
      </c>
    </row>
    <row r="51" spans="1:20" x14ac:dyDescent="0.25">
      <c r="A51" t="s">
        <v>60</v>
      </c>
      <c r="B51" t="s">
        <v>217</v>
      </c>
      <c r="C51" t="s">
        <v>267</v>
      </c>
      <c r="D51" t="s">
        <v>472</v>
      </c>
      <c r="E51" t="s">
        <v>610</v>
      </c>
      <c r="F51" t="s">
        <v>661</v>
      </c>
      <c r="G51" t="s">
        <v>713</v>
      </c>
      <c r="H51" t="s">
        <v>724</v>
      </c>
      <c r="I51" t="s">
        <v>735</v>
      </c>
      <c r="J51" t="s">
        <v>736</v>
      </c>
      <c r="K51" s="2">
        <v>33860</v>
      </c>
      <c r="L51" s="2">
        <v>33860</v>
      </c>
      <c r="M51" s="2" t="s">
        <v>854</v>
      </c>
      <c r="N51">
        <f t="shared" si="0"/>
        <v>13</v>
      </c>
      <c r="O51" t="s">
        <v>737</v>
      </c>
      <c r="P51">
        <f t="shared" si="1"/>
        <v>9</v>
      </c>
      <c r="Q51" t="s">
        <v>737</v>
      </c>
      <c r="R51">
        <f t="shared" si="2"/>
        <v>1992</v>
      </c>
      <c r="S51" t="s">
        <v>762</v>
      </c>
      <c r="T51" s="5" t="s">
        <v>762</v>
      </c>
    </row>
    <row r="52" spans="1:20" x14ac:dyDescent="0.25">
      <c r="A52" t="s">
        <v>61</v>
      </c>
      <c r="B52" t="s">
        <v>217</v>
      </c>
      <c r="C52" t="s">
        <v>268</v>
      </c>
      <c r="D52" t="s">
        <v>473</v>
      </c>
      <c r="E52" t="s">
        <v>614</v>
      </c>
      <c r="F52" t="s">
        <v>665</v>
      </c>
      <c r="G52" t="s">
        <v>713</v>
      </c>
      <c r="H52" t="s">
        <v>724</v>
      </c>
      <c r="I52" t="s">
        <v>735</v>
      </c>
      <c r="J52" t="s">
        <v>736</v>
      </c>
      <c r="K52" s="2">
        <v>32335</v>
      </c>
      <c r="L52" s="2">
        <v>32335</v>
      </c>
      <c r="M52" s="2" t="s">
        <v>854</v>
      </c>
      <c r="N52">
        <f t="shared" si="0"/>
        <v>11</v>
      </c>
      <c r="O52" t="s">
        <v>737</v>
      </c>
      <c r="P52">
        <f t="shared" si="1"/>
        <v>7</v>
      </c>
      <c r="Q52" t="s">
        <v>737</v>
      </c>
      <c r="R52">
        <f t="shared" si="2"/>
        <v>1988</v>
      </c>
      <c r="S52" s="3">
        <v>32454</v>
      </c>
      <c r="T52" s="5" t="s">
        <v>880</v>
      </c>
    </row>
    <row r="53" spans="1:20" x14ac:dyDescent="0.25">
      <c r="A53" t="s">
        <v>62</v>
      </c>
      <c r="B53" t="s">
        <v>217</v>
      </c>
      <c r="C53" t="s">
        <v>269</v>
      </c>
      <c r="D53" t="s">
        <v>474</v>
      </c>
      <c r="E53" t="s">
        <v>610</v>
      </c>
      <c r="F53" t="s">
        <v>661</v>
      </c>
      <c r="G53" t="s">
        <v>713</v>
      </c>
      <c r="H53" t="s">
        <v>724</v>
      </c>
      <c r="I53" t="s">
        <v>735</v>
      </c>
      <c r="J53" t="s">
        <v>736</v>
      </c>
      <c r="K53" s="2">
        <v>35323</v>
      </c>
      <c r="L53" s="2">
        <v>35323</v>
      </c>
      <c r="M53" s="2" t="s">
        <v>854</v>
      </c>
      <c r="N53">
        <f t="shared" si="0"/>
        <v>15</v>
      </c>
      <c r="O53" t="s">
        <v>737</v>
      </c>
      <c r="P53">
        <f t="shared" si="1"/>
        <v>9</v>
      </c>
      <c r="Q53" t="s">
        <v>737</v>
      </c>
      <c r="R53">
        <f t="shared" si="2"/>
        <v>1996</v>
      </c>
      <c r="S53" t="s">
        <v>763</v>
      </c>
      <c r="T53" s="5" t="s">
        <v>763</v>
      </c>
    </row>
    <row r="54" spans="1:20" x14ac:dyDescent="0.25">
      <c r="A54" t="s">
        <v>63</v>
      </c>
      <c r="B54" t="s">
        <v>217</v>
      </c>
      <c r="C54" t="s">
        <v>270</v>
      </c>
      <c r="D54" t="s">
        <v>475</v>
      </c>
      <c r="E54" t="s">
        <v>618</v>
      </c>
      <c r="F54" t="s">
        <v>669</v>
      </c>
      <c r="G54" t="s">
        <v>713</v>
      </c>
      <c r="H54" t="s">
        <v>724</v>
      </c>
      <c r="I54" t="s">
        <v>735</v>
      </c>
      <c r="J54" t="s">
        <v>736</v>
      </c>
      <c r="K54" s="2">
        <v>32313</v>
      </c>
      <c r="L54" s="2">
        <v>32313</v>
      </c>
      <c r="M54" s="2" t="s">
        <v>854</v>
      </c>
      <c r="N54">
        <f t="shared" si="0"/>
        <v>19</v>
      </c>
      <c r="O54" t="s">
        <v>737</v>
      </c>
      <c r="P54">
        <f t="shared" si="1"/>
        <v>6</v>
      </c>
      <c r="Q54" t="s">
        <v>737</v>
      </c>
      <c r="R54">
        <f t="shared" si="2"/>
        <v>1988</v>
      </c>
      <c r="S54" t="s">
        <v>764</v>
      </c>
      <c r="T54" s="5" t="s">
        <v>764</v>
      </c>
    </row>
    <row r="55" spans="1:20" x14ac:dyDescent="0.25">
      <c r="A55" t="s">
        <v>64</v>
      </c>
      <c r="B55" t="s">
        <v>217</v>
      </c>
      <c r="C55" t="s">
        <v>271</v>
      </c>
      <c r="D55" t="s">
        <v>476</v>
      </c>
      <c r="E55" t="s">
        <v>617</v>
      </c>
      <c r="F55" t="s">
        <v>668</v>
      </c>
      <c r="G55" t="s">
        <v>713</v>
      </c>
      <c r="H55" t="s">
        <v>724</v>
      </c>
      <c r="I55" t="s">
        <v>735</v>
      </c>
      <c r="J55" t="s">
        <v>736</v>
      </c>
      <c r="K55" s="2">
        <v>26591</v>
      </c>
      <c r="L55" s="2">
        <v>26591</v>
      </c>
      <c r="M55" s="2" t="s">
        <v>854</v>
      </c>
      <c r="N55">
        <f t="shared" si="0"/>
        <v>19</v>
      </c>
      <c r="O55" t="s">
        <v>737</v>
      </c>
      <c r="P55">
        <f t="shared" si="1"/>
        <v>10</v>
      </c>
      <c r="Q55" t="s">
        <v>737</v>
      </c>
      <c r="R55">
        <f t="shared" si="2"/>
        <v>1972</v>
      </c>
      <c r="S55" t="s">
        <v>765</v>
      </c>
      <c r="T55" s="5" t="s">
        <v>765</v>
      </c>
    </row>
    <row r="56" spans="1:20" x14ac:dyDescent="0.25">
      <c r="A56" t="s">
        <v>65</v>
      </c>
      <c r="B56" t="s">
        <v>217</v>
      </c>
      <c r="C56" t="s">
        <v>272</v>
      </c>
      <c r="D56" t="s">
        <v>477</v>
      </c>
      <c r="E56" t="s">
        <v>614</v>
      </c>
      <c r="F56" t="s">
        <v>665</v>
      </c>
      <c r="G56" t="s">
        <v>713</v>
      </c>
      <c r="H56" t="s">
        <v>724</v>
      </c>
      <c r="I56" t="s">
        <v>735</v>
      </c>
      <c r="J56" t="s">
        <v>736</v>
      </c>
      <c r="K56" s="2">
        <v>31980</v>
      </c>
      <c r="L56" s="2">
        <v>31980</v>
      </c>
      <c r="M56" s="2" t="s">
        <v>854</v>
      </c>
      <c r="N56">
        <f t="shared" si="0"/>
        <v>22</v>
      </c>
      <c r="O56" t="s">
        <v>737</v>
      </c>
      <c r="P56">
        <f t="shared" si="1"/>
        <v>7</v>
      </c>
      <c r="Q56" t="s">
        <v>737</v>
      </c>
      <c r="R56">
        <f t="shared" si="2"/>
        <v>1987</v>
      </c>
      <c r="S56" t="s">
        <v>766</v>
      </c>
      <c r="T56" s="5" t="s">
        <v>766</v>
      </c>
    </row>
    <row r="57" spans="1:20" x14ac:dyDescent="0.25">
      <c r="A57" t="s">
        <v>66</v>
      </c>
      <c r="B57" t="s">
        <v>217</v>
      </c>
      <c r="C57" t="s">
        <v>273</v>
      </c>
      <c r="D57" t="s">
        <v>478</v>
      </c>
      <c r="E57" t="s">
        <v>625</v>
      </c>
      <c r="F57" t="s">
        <v>676</v>
      </c>
      <c r="G57" t="s">
        <v>720</v>
      </c>
      <c r="H57" t="s">
        <v>731</v>
      </c>
      <c r="I57" t="s">
        <v>735</v>
      </c>
      <c r="J57" t="s">
        <v>736</v>
      </c>
      <c r="M57" s="2" t="s">
        <v>854</v>
      </c>
      <c r="N57">
        <f t="shared" si="0"/>
        <v>0</v>
      </c>
      <c r="O57" t="s">
        <v>737</v>
      </c>
      <c r="P57">
        <f t="shared" si="1"/>
        <v>1</v>
      </c>
      <c r="Q57" t="s">
        <v>737</v>
      </c>
      <c r="R57">
        <f t="shared" si="2"/>
        <v>1900</v>
      </c>
      <c r="S57" t="s">
        <v>767</v>
      </c>
      <c r="T57" s="5" t="s">
        <v>767</v>
      </c>
    </row>
    <row r="58" spans="1:20" x14ac:dyDescent="0.25">
      <c r="A58" t="s">
        <v>67</v>
      </c>
      <c r="B58" t="s">
        <v>217</v>
      </c>
      <c r="C58" t="s">
        <v>274</v>
      </c>
      <c r="D58" t="s">
        <v>479</v>
      </c>
      <c r="E58" t="s">
        <v>613</v>
      </c>
      <c r="F58" t="s">
        <v>664</v>
      </c>
      <c r="G58" t="s">
        <v>713</v>
      </c>
      <c r="H58" t="s">
        <v>724</v>
      </c>
      <c r="I58" t="s">
        <v>735</v>
      </c>
      <c r="J58" t="s">
        <v>736</v>
      </c>
      <c r="K58" s="2">
        <v>31209</v>
      </c>
      <c r="L58" s="2">
        <v>31209</v>
      </c>
      <c r="M58" s="2" t="s">
        <v>854</v>
      </c>
      <c r="N58">
        <f t="shared" si="0"/>
        <v>11</v>
      </c>
      <c r="O58" t="s">
        <v>737</v>
      </c>
      <c r="P58">
        <f t="shared" si="1"/>
        <v>6</v>
      </c>
      <c r="Q58" t="s">
        <v>737</v>
      </c>
      <c r="R58">
        <f t="shared" si="2"/>
        <v>1985</v>
      </c>
      <c r="S58" s="3">
        <v>31357</v>
      </c>
      <c r="T58" s="5" t="s">
        <v>881</v>
      </c>
    </row>
    <row r="59" spans="1:20" x14ac:dyDescent="0.25">
      <c r="A59" t="s">
        <v>68</v>
      </c>
      <c r="B59" t="s">
        <v>217</v>
      </c>
      <c r="C59" t="s">
        <v>275</v>
      </c>
      <c r="D59" t="s">
        <v>480</v>
      </c>
      <c r="E59" t="s">
        <v>613</v>
      </c>
      <c r="F59" t="s">
        <v>664</v>
      </c>
      <c r="G59" t="s">
        <v>713</v>
      </c>
      <c r="H59" t="s">
        <v>724</v>
      </c>
      <c r="I59" t="s">
        <v>735</v>
      </c>
      <c r="J59" t="s">
        <v>736</v>
      </c>
      <c r="K59" s="2">
        <v>31073</v>
      </c>
      <c r="L59" s="2">
        <v>31073</v>
      </c>
      <c r="M59" s="2" t="s">
        <v>854</v>
      </c>
      <c r="N59">
        <f t="shared" si="0"/>
        <v>26</v>
      </c>
      <c r="O59" t="s">
        <v>737</v>
      </c>
      <c r="P59">
        <f t="shared" si="1"/>
        <v>1</v>
      </c>
      <c r="Q59" t="s">
        <v>737</v>
      </c>
      <c r="R59">
        <f t="shared" si="2"/>
        <v>1985</v>
      </c>
      <c r="S59" t="s">
        <v>768</v>
      </c>
      <c r="T59" s="5" t="s">
        <v>768</v>
      </c>
    </row>
    <row r="60" spans="1:20" x14ac:dyDescent="0.25">
      <c r="A60" t="s">
        <v>69</v>
      </c>
      <c r="B60" t="s">
        <v>217</v>
      </c>
      <c r="C60" t="s">
        <v>276</v>
      </c>
      <c r="D60" t="s">
        <v>481</v>
      </c>
      <c r="E60" t="s">
        <v>614</v>
      </c>
      <c r="F60" t="s">
        <v>665</v>
      </c>
      <c r="G60" t="s">
        <v>713</v>
      </c>
      <c r="H60" t="s">
        <v>724</v>
      </c>
      <c r="I60" t="s">
        <v>735</v>
      </c>
      <c r="J60" t="s">
        <v>736</v>
      </c>
      <c r="K60" s="2">
        <v>32298</v>
      </c>
      <c r="L60" s="2">
        <v>32298</v>
      </c>
      <c r="M60" s="2" t="s">
        <v>854</v>
      </c>
      <c r="N60">
        <f t="shared" si="0"/>
        <v>4</v>
      </c>
      <c r="O60" t="s">
        <v>737</v>
      </c>
      <c r="P60">
        <f t="shared" si="1"/>
        <v>6</v>
      </c>
      <c r="Q60" t="s">
        <v>737</v>
      </c>
      <c r="R60">
        <f t="shared" si="2"/>
        <v>1988</v>
      </c>
      <c r="S60" s="3">
        <v>32239</v>
      </c>
      <c r="T60" s="5" t="s">
        <v>882</v>
      </c>
    </row>
    <row r="61" spans="1:20" x14ac:dyDescent="0.25">
      <c r="A61" t="s">
        <v>70</v>
      </c>
      <c r="B61" t="s">
        <v>217</v>
      </c>
      <c r="C61" t="s">
        <v>277</v>
      </c>
      <c r="D61" t="s">
        <v>482</v>
      </c>
      <c r="E61" t="s">
        <v>610</v>
      </c>
      <c r="F61" t="s">
        <v>661</v>
      </c>
      <c r="G61" t="s">
        <v>713</v>
      </c>
      <c r="H61" t="s">
        <v>724</v>
      </c>
      <c r="I61" t="s">
        <v>735</v>
      </c>
      <c r="J61" t="s">
        <v>736</v>
      </c>
      <c r="K61" s="2">
        <v>27563</v>
      </c>
      <c r="L61" s="2">
        <v>27563</v>
      </c>
      <c r="M61" s="2" t="s">
        <v>854</v>
      </c>
      <c r="N61">
        <f t="shared" si="0"/>
        <v>18</v>
      </c>
      <c r="O61" t="s">
        <v>737</v>
      </c>
      <c r="P61">
        <f t="shared" si="1"/>
        <v>6</v>
      </c>
      <c r="Q61" t="s">
        <v>737</v>
      </c>
      <c r="R61">
        <f t="shared" si="2"/>
        <v>1975</v>
      </c>
      <c r="S61" t="s">
        <v>769</v>
      </c>
      <c r="T61" s="5" t="s">
        <v>769</v>
      </c>
    </row>
    <row r="62" spans="1:20" x14ac:dyDescent="0.25">
      <c r="A62" t="s">
        <v>71</v>
      </c>
      <c r="B62" t="s">
        <v>217</v>
      </c>
      <c r="C62" t="s">
        <v>278</v>
      </c>
      <c r="D62" t="s">
        <v>483</v>
      </c>
      <c r="E62" t="s">
        <v>626</v>
      </c>
      <c r="F62" t="s">
        <v>677</v>
      </c>
      <c r="G62" t="s">
        <v>718</v>
      </c>
      <c r="H62" t="s">
        <v>729</v>
      </c>
      <c r="I62" t="s">
        <v>735</v>
      </c>
      <c r="J62" t="s">
        <v>736</v>
      </c>
      <c r="K62" s="2">
        <v>33217</v>
      </c>
      <c r="L62" s="2">
        <v>33217</v>
      </c>
      <c r="M62" s="2" t="s">
        <v>854</v>
      </c>
      <c r="N62">
        <f t="shared" si="0"/>
        <v>10</v>
      </c>
      <c r="O62" t="s">
        <v>737</v>
      </c>
      <c r="P62">
        <f t="shared" si="1"/>
        <v>12</v>
      </c>
      <c r="Q62" t="s">
        <v>737</v>
      </c>
      <c r="R62">
        <f t="shared" si="2"/>
        <v>1990</v>
      </c>
      <c r="S62" s="3">
        <v>33158</v>
      </c>
      <c r="T62" s="5" t="s">
        <v>883</v>
      </c>
    </row>
    <row r="63" spans="1:20" x14ac:dyDescent="0.25">
      <c r="A63" t="s">
        <v>72</v>
      </c>
      <c r="B63" t="s">
        <v>217</v>
      </c>
      <c r="C63" t="s">
        <v>279</v>
      </c>
      <c r="D63" t="s">
        <v>484</v>
      </c>
      <c r="E63" t="s">
        <v>618</v>
      </c>
      <c r="F63" t="s">
        <v>669</v>
      </c>
      <c r="G63" t="s">
        <v>713</v>
      </c>
      <c r="H63" t="s">
        <v>724</v>
      </c>
      <c r="I63" t="s">
        <v>735</v>
      </c>
      <c r="J63" t="s">
        <v>736</v>
      </c>
      <c r="K63" s="2">
        <v>32510</v>
      </c>
      <c r="L63" s="2">
        <v>32510</v>
      </c>
      <c r="M63" s="2" t="s">
        <v>854</v>
      </c>
      <c r="N63">
        <f t="shared" si="0"/>
        <v>2</v>
      </c>
      <c r="O63" t="s">
        <v>737</v>
      </c>
      <c r="P63">
        <f t="shared" si="1"/>
        <v>1</v>
      </c>
      <c r="Q63" t="s">
        <v>737</v>
      </c>
      <c r="R63">
        <f t="shared" si="2"/>
        <v>1989</v>
      </c>
      <c r="S63" s="3">
        <v>32540</v>
      </c>
      <c r="T63" s="5" t="s">
        <v>884</v>
      </c>
    </row>
    <row r="64" spans="1:20" x14ac:dyDescent="0.25">
      <c r="A64" t="s">
        <v>73</v>
      </c>
      <c r="B64" t="s">
        <v>217</v>
      </c>
      <c r="C64" t="s">
        <v>280</v>
      </c>
      <c r="D64" t="s">
        <v>485</v>
      </c>
      <c r="E64" t="s">
        <v>613</v>
      </c>
      <c r="F64" t="s">
        <v>664</v>
      </c>
      <c r="G64" t="s">
        <v>713</v>
      </c>
      <c r="H64" t="s">
        <v>724</v>
      </c>
      <c r="I64" t="s">
        <v>735</v>
      </c>
      <c r="J64" t="s">
        <v>736</v>
      </c>
      <c r="K64" s="2">
        <v>26858</v>
      </c>
      <c r="L64" s="2">
        <v>26858</v>
      </c>
      <c r="M64" s="2" t="s">
        <v>854</v>
      </c>
      <c r="N64">
        <f t="shared" si="0"/>
        <v>13</v>
      </c>
      <c r="O64" t="s">
        <v>737</v>
      </c>
      <c r="P64">
        <f t="shared" si="1"/>
        <v>7</v>
      </c>
      <c r="Q64" t="s">
        <v>737</v>
      </c>
      <c r="R64">
        <f t="shared" si="2"/>
        <v>1973</v>
      </c>
      <c r="S64" t="s">
        <v>770</v>
      </c>
      <c r="T64" s="5" t="s">
        <v>770</v>
      </c>
    </row>
    <row r="65" spans="1:20" x14ac:dyDescent="0.25">
      <c r="A65" t="s">
        <v>74</v>
      </c>
      <c r="B65" t="s">
        <v>217</v>
      </c>
      <c r="C65" t="s">
        <v>281</v>
      </c>
      <c r="D65" t="s">
        <v>486</v>
      </c>
      <c r="E65" t="s">
        <v>613</v>
      </c>
      <c r="F65" t="s">
        <v>664</v>
      </c>
      <c r="G65" t="s">
        <v>713</v>
      </c>
      <c r="H65" t="s">
        <v>724</v>
      </c>
      <c r="I65" t="s">
        <v>735</v>
      </c>
      <c r="J65" t="s">
        <v>736</v>
      </c>
      <c r="K65" s="2">
        <v>24449</v>
      </c>
      <c r="L65" s="2">
        <v>24449</v>
      </c>
      <c r="M65" s="2" t="s">
        <v>854</v>
      </c>
      <c r="N65">
        <f t="shared" si="0"/>
        <v>8</v>
      </c>
      <c r="O65" t="s">
        <v>737</v>
      </c>
      <c r="P65">
        <f t="shared" si="1"/>
        <v>12</v>
      </c>
      <c r="Q65" t="s">
        <v>737</v>
      </c>
      <c r="R65">
        <f t="shared" si="2"/>
        <v>1966</v>
      </c>
      <c r="S65" s="3">
        <v>24331</v>
      </c>
      <c r="T65" s="5" t="s">
        <v>885</v>
      </c>
    </row>
    <row r="66" spans="1:20" x14ac:dyDescent="0.25">
      <c r="A66" t="s">
        <v>75</v>
      </c>
      <c r="B66" t="s">
        <v>217</v>
      </c>
      <c r="C66" t="s">
        <v>282</v>
      </c>
      <c r="D66" t="s">
        <v>487</v>
      </c>
      <c r="E66" t="s">
        <v>613</v>
      </c>
      <c r="F66" t="s">
        <v>664</v>
      </c>
      <c r="G66" t="s">
        <v>713</v>
      </c>
      <c r="H66" t="s">
        <v>724</v>
      </c>
      <c r="I66" t="s">
        <v>735</v>
      </c>
      <c r="J66" t="s">
        <v>736</v>
      </c>
      <c r="K66" s="2">
        <v>24099</v>
      </c>
      <c r="L66" s="2">
        <v>24099</v>
      </c>
      <c r="M66" s="2" t="s">
        <v>854</v>
      </c>
      <c r="N66">
        <f t="shared" si="0"/>
        <v>23</v>
      </c>
      <c r="O66" t="s">
        <v>737</v>
      </c>
      <c r="P66">
        <f t="shared" si="1"/>
        <v>12</v>
      </c>
      <c r="Q66" t="s">
        <v>737</v>
      </c>
      <c r="R66">
        <f t="shared" si="2"/>
        <v>1965</v>
      </c>
      <c r="S66" t="s">
        <v>771</v>
      </c>
      <c r="T66" s="5" t="s">
        <v>771</v>
      </c>
    </row>
    <row r="67" spans="1:20" x14ac:dyDescent="0.25">
      <c r="A67" t="s">
        <v>76</v>
      </c>
      <c r="B67" t="s">
        <v>217</v>
      </c>
      <c r="C67" t="s">
        <v>283</v>
      </c>
      <c r="D67" t="s">
        <v>488</v>
      </c>
      <c r="E67" t="s">
        <v>627</v>
      </c>
      <c r="F67" t="s">
        <v>678</v>
      </c>
      <c r="G67" t="s">
        <v>721</v>
      </c>
      <c r="H67" t="s">
        <v>732</v>
      </c>
      <c r="I67" t="s">
        <v>735</v>
      </c>
      <c r="J67" t="s">
        <v>736</v>
      </c>
      <c r="K67" s="2">
        <v>31905</v>
      </c>
      <c r="L67" s="2">
        <v>31905</v>
      </c>
      <c r="M67" s="2" t="s">
        <v>854</v>
      </c>
      <c r="N67">
        <f t="shared" ref="N67:N130" si="3">DAY(L67)</f>
        <v>8</v>
      </c>
      <c r="O67" t="s">
        <v>737</v>
      </c>
      <c r="P67">
        <f t="shared" ref="P67:P130" si="4">MONTH(L67)</f>
        <v>5</v>
      </c>
      <c r="Q67" t="s">
        <v>737</v>
      </c>
      <c r="R67">
        <f t="shared" ref="R67:R130" si="5">YEAR(L67)</f>
        <v>1987</v>
      </c>
      <c r="S67" s="3">
        <v>31994</v>
      </c>
      <c r="T67" s="5" t="s">
        <v>886</v>
      </c>
    </row>
    <row r="68" spans="1:20" x14ac:dyDescent="0.25">
      <c r="A68" t="s">
        <v>77</v>
      </c>
      <c r="B68" t="s">
        <v>217</v>
      </c>
      <c r="C68" t="s">
        <v>284</v>
      </c>
      <c r="D68" t="s">
        <v>489</v>
      </c>
      <c r="E68" t="s">
        <v>620</v>
      </c>
      <c r="F68" t="s">
        <v>671</v>
      </c>
      <c r="G68" t="s">
        <v>713</v>
      </c>
      <c r="H68" t="s">
        <v>724</v>
      </c>
      <c r="I68" t="s">
        <v>735</v>
      </c>
      <c r="J68" t="s">
        <v>736</v>
      </c>
      <c r="K68" s="2">
        <v>32573</v>
      </c>
      <c r="L68" s="2">
        <v>32573</v>
      </c>
      <c r="M68" s="2" t="s">
        <v>854</v>
      </c>
      <c r="N68">
        <f t="shared" si="3"/>
        <v>6</v>
      </c>
      <c r="O68" t="s">
        <v>737</v>
      </c>
      <c r="P68">
        <f t="shared" si="4"/>
        <v>3</v>
      </c>
      <c r="Q68" t="s">
        <v>737</v>
      </c>
      <c r="R68">
        <f t="shared" si="5"/>
        <v>1989</v>
      </c>
      <c r="S68" s="3">
        <v>32662</v>
      </c>
      <c r="T68" s="5" t="s">
        <v>887</v>
      </c>
    </row>
    <row r="69" spans="1:20" x14ac:dyDescent="0.25">
      <c r="A69" t="s">
        <v>78</v>
      </c>
      <c r="B69" t="s">
        <v>217</v>
      </c>
      <c r="C69" t="s">
        <v>285</v>
      </c>
      <c r="D69" t="s">
        <v>490</v>
      </c>
      <c r="E69" t="s">
        <v>610</v>
      </c>
      <c r="F69" t="s">
        <v>661</v>
      </c>
      <c r="G69" t="s">
        <v>713</v>
      </c>
      <c r="H69" t="s">
        <v>724</v>
      </c>
      <c r="I69" t="s">
        <v>735</v>
      </c>
      <c r="J69" t="s">
        <v>736</v>
      </c>
      <c r="K69" s="2">
        <v>22754</v>
      </c>
      <c r="L69" s="2">
        <v>22754</v>
      </c>
      <c r="M69" s="2" t="s">
        <v>854</v>
      </c>
      <c r="N69">
        <f t="shared" si="3"/>
        <v>18</v>
      </c>
      <c r="O69" t="s">
        <v>737</v>
      </c>
      <c r="P69">
        <f t="shared" si="4"/>
        <v>4</v>
      </c>
      <c r="Q69" t="s">
        <v>737</v>
      </c>
      <c r="R69">
        <f t="shared" si="5"/>
        <v>1962</v>
      </c>
      <c r="S69" t="s">
        <v>772</v>
      </c>
      <c r="T69" s="5" t="s">
        <v>772</v>
      </c>
    </row>
    <row r="70" spans="1:20" x14ac:dyDescent="0.25">
      <c r="A70" t="s">
        <v>79</v>
      </c>
      <c r="B70" t="s">
        <v>217</v>
      </c>
      <c r="C70" t="s">
        <v>286</v>
      </c>
      <c r="D70" t="s">
        <v>491</v>
      </c>
      <c r="E70" t="s">
        <v>613</v>
      </c>
      <c r="F70" t="s">
        <v>664</v>
      </c>
      <c r="G70" t="s">
        <v>713</v>
      </c>
      <c r="H70" t="s">
        <v>724</v>
      </c>
      <c r="I70" t="s">
        <v>735</v>
      </c>
      <c r="J70" t="s">
        <v>736</v>
      </c>
      <c r="K70" s="2">
        <v>26839</v>
      </c>
      <c r="L70" s="2">
        <v>26839</v>
      </c>
      <c r="M70" s="2" t="s">
        <v>854</v>
      </c>
      <c r="N70">
        <f t="shared" si="3"/>
        <v>24</v>
      </c>
      <c r="O70" t="s">
        <v>737</v>
      </c>
      <c r="P70">
        <f t="shared" si="4"/>
        <v>6</v>
      </c>
      <c r="Q70" t="s">
        <v>737</v>
      </c>
      <c r="R70">
        <f t="shared" si="5"/>
        <v>1973</v>
      </c>
      <c r="S70" t="s">
        <v>773</v>
      </c>
      <c r="T70" s="5" t="s">
        <v>773</v>
      </c>
    </row>
    <row r="71" spans="1:20" x14ac:dyDescent="0.25">
      <c r="A71" t="s">
        <v>80</v>
      </c>
      <c r="B71" t="s">
        <v>217</v>
      </c>
      <c r="C71" t="s">
        <v>287</v>
      </c>
      <c r="D71" t="s">
        <v>492</v>
      </c>
      <c r="E71" t="s">
        <v>619</v>
      </c>
      <c r="F71" t="s">
        <v>670</v>
      </c>
      <c r="G71" t="s">
        <v>717</v>
      </c>
      <c r="H71" t="s">
        <v>728</v>
      </c>
      <c r="I71" t="s">
        <v>735</v>
      </c>
      <c r="J71" t="s">
        <v>736</v>
      </c>
      <c r="K71" s="2">
        <v>23459</v>
      </c>
      <c r="L71" s="2">
        <v>23459</v>
      </c>
      <c r="M71" s="2" t="s">
        <v>854</v>
      </c>
      <c r="N71">
        <f t="shared" si="3"/>
        <v>23</v>
      </c>
      <c r="O71" t="s">
        <v>737</v>
      </c>
      <c r="P71">
        <f t="shared" si="4"/>
        <v>3</v>
      </c>
      <c r="Q71" t="s">
        <v>737</v>
      </c>
      <c r="R71">
        <f t="shared" si="5"/>
        <v>1964</v>
      </c>
      <c r="S71" t="s">
        <v>774</v>
      </c>
      <c r="T71" s="5" t="s">
        <v>774</v>
      </c>
    </row>
    <row r="72" spans="1:20" x14ac:dyDescent="0.25">
      <c r="A72" t="s">
        <v>81</v>
      </c>
      <c r="B72" t="s">
        <v>217</v>
      </c>
      <c r="C72" t="s">
        <v>288</v>
      </c>
      <c r="D72" t="s">
        <v>493</v>
      </c>
      <c r="E72" t="s">
        <v>617</v>
      </c>
      <c r="F72" t="s">
        <v>668</v>
      </c>
      <c r="G72" t="s">
        <v>713</v>
      </c>
      <c r="H72" t="s">
        <v>724</v>
      </c>
      <c r="I72" t="s">
        <v>735</v>
      </c>
      <c r="J72" t="s">
        <v>736</v>
      </c>
      <c r="K72" s="2">
        <v>27342</v>
      </c>
      <c r="L72" s="2">
        <v>27342</v>
      </c>
      <c r="M72" s="2" t="s">
        <v>854</v>
      </c>
      <c r="N72">
        <f t="shared" si="3"/>
        <v>9</v>
      </c>
      <c r="O72" t="s">
        <v>737</v>
      </c>
      <c r="P72">
        <f t="shared" si="4"/>
        <v>11</v>
      </c>
      <c r="Q72" t="s">
        <v>737</v>
      </c>
      <c r="R72">
        <f t="shared" si="5"/>
        <v>1974</v>
      </c>
      <c r="S72" s="3">
        <v>27283</v>
      </c>
      <c r="T72" s="5" t="s">
        <v>888</v>
      </c>
    </row>
    <row r="73" spans="1:20" x14ac:dyDescent="0.25">
      <c r="A73" t="s">
        <v>82</v>
      </c>
      <c r="B73" t="s">
        <v>217</v>
      </c>
      <c r="C73" t="s">
        <v>289</v>
      </c>
      <c r="D73" t="s">
        <v>494</v>
      </c>
      <c r="E73" t="s">
        <v>617</v>
      </c>
      <c r="F73" t="s">
        <v>668</v>
      </c>
      <c r="G73" t="s">
        <v>713</v>
      </c>
      <c r="H73" t="s">
        <v>724</v>
      </c>
      <c r="I73" t="s">
        <v>735</v>
      </c>
      <c r="J73" t="s">
        <v>736</v>
      </c>
      <c r="K73" s="2">
        <v>27342</v>
      </c>
      <c r="L73" s="2">
        <v>27342</v>
      </c>
      <c r="M73" s="2" t="s">
        <v>854</v>
      </c>
      <c r="N73">
        <f t="shared" si="3"/>
        <v>9</v>
      </c>
      <c r="O73" t="s">
        <v>737</v>
      </c>
      <c r="P73">
        <f t="shared" si="4"/>
        <v>11</v>
      </c>
      <c r="Q73" t="s">
        <v>737</v>
      </c>
      <c r="R73">
        <f t="shared" si="5"/>
        <v>1974</v>
      </c>
      <c r="S73" s="3">
        <v>27283</v>
      </c>
      <c r="T73" s="5" t="s">
        <v>888</v>
      </c>
    </row>
    <row r="74" spans="1:20" x14ac:dyDescent="0.25">
      <c r="A74" t="s">
        <v>83</v>
      </c>
      <c r="B74" t="s">
        <v>217</v>
      </c>
      <c r="C74" t="s">
        <v>290</v>
      </c>
      <c r="D74" t="s">
        <v>495</v>
      </c>
      <c r="E74" t="s">
        <v>610</v>
      </c>
      <c r="F74" t="s">
        <v>661</v>
      </c>
      <c r="G74" t="s">
        <v>713</v>
      </c>
      <c r="H74" t="s">
        <v>724</v>
      </c>
      <c r="I74" t="s">
        <v>735</v>
      </c>
      <c r="J74" t="s">
        <v>736</v>
      </c>
      <c r="K74" s="2">
        <v>27004</v>
      </c>
      <c r="L74" s="2">
        <v>27004</v>
      </c>
      <c r="M74" s="2" t="s">
        <v>854</v>
      </c>
      <c r="N74">
        <f t="shared" si="3"/>
        <v>6</v>
      </c>
      <c r="O74" t="s">
        <v>737</v>
      </c>
      <c r="P74">
        <f t="shared" si="4"/>
        <v>12</v>
      </c>
      <c r="Q74" t="s">
        <v>737</v>
      </c>
      <c r="R74">
        <f t="shared" si="5"/>
        <v>1973</v>
      </c>
      <c r="S74" s="3">
        <v>26827</v>
      </c>
      <c r="T74" s="5" t="s">
        <v>889</v>
      </c>
    </row>
    <row r="75" spans="1:20" x14ac:dyDescent="0.25">
      <c r="A75" t="s">
        <v>84</v>
      </c>
      <c r="B75" t="s">
        <v>217</v>
      </c>
      <c r="C75" t="s">
        <v>291</v>
      </c>
      <c r="D75" t="s">
        <v>496</v>
      </c>
      <c r="E75" t="s">
        <v>613</v>
      </c>
      <c r="F75" t="s">
        <v>664</v>
      </c>
      <c r="G75" t="s">
        <v>713</v>
      </c>
      <c r="H75" t="s">
        <v>724</v>
      </c>
      <c r="I75" t="s">
        <v>735</v>
      </c>
      <c r="J75" t="s">
        <v>736</v>
      </c>
      <c r="K75" s="2">
        <v>27342</v>
      </c>
      <c r="L75" s="2">
        <v>27342</v>
      </c>
      <c r="M75" s="2" t="s">
        <v>854</v>
      </c>
      <c r="N75">
        <f t="shared" si="3"/>
        <v>9</v>
      </c>
      <c r="O75" t="s">
        <v>737</v>
      </c>
      <c r="P75">
        <f t="shared" si="4"/>
        <v>11</v>
      </c>
      <c r="Q75" t="s">
        <v>737</v>
      </c>
      <c r="R75">
        <f t="shared" si="5"/>
        <v>1974</v>
      </c>
      <c r="S75" s="3">
        <v>27283</v>
      </c>
      <c r="T75" s="5" t="s">
        <v>888</v>
      </c>
    </row>
    <row r="76" spans="1:20" x14ac:dyDescent="0.25">
      <c r="A76" t="s">
        <v>85</v>
      </c>
      <c r="B76" t="s">
        <v>217</v>
      </c>
      <c r="C76" t="s">
        <v>292</v>
      </c>
      <c r="D76" t="s">
        <v>497</v>
      </c>
      <c r="E76" t="s">
        <v>617</v>
      </c>
      <c r="F76" t="s">
        <v>668</v>
      </c>
      <c r="G76" t="s">
        <v>713</v>
      </c>
      <c r="H76" t="s">
        <v>724</v>
      </c>
      <c r="I76" t="s">
        <v>735</v>
      </c>
      <c r="J76" t="s">
        <v>736</v>
      </c>
      <c r="K76" s="2">
        <v>33122</v>
      </c>
      <c r="L76" s="2">
        <v>33122</v>
      </c>
      <c r="M76" s="2" t="s">
        <v>854</v>
      </c>
      <c r="N76">
        <f t="shared" si="3"/>
        <v>6</v>
      </c>
      <c r="O76" t="s">
        <v>737</v>
      </c>
      <c r="P76">
        <f t="shared" si="4"/>
        <v>9</v>
      </c>
      <c r="Q76" t="s">
        <v>737</v>
      </c>
      <c r="R76">
        <f t="shared" si="5"/>
        <v>1990</v>
      </c>
      <c r="S76" s="3">
        <v>33033</v>
      </c>
      <c r="T76" s="5" t="s">
        <v>890</v>
      </c>
    </row>
    <row r="77" spans="1:20" x14ac:dyDescent="0.25">
      <c r="A77" t="s">
        <v>86</v>
      </c>
      <c r="B77" t="s">
        <v>217</v>
      </c>
      <c r="C77" t="s">
        <v>293</v>
      </c>
      <c r="D77" t="s">
        <v>498</v>
      </c>
      <c r="E77" t="s">
        <v>614</v>
      </c>
      <c r="F77" t="s">
        <v>665</v>
      </c>
      <c r="G77" t="s">
        <v>713</v>
      </c>
      <c r="H77" t="s">
        <v>724</v>
      </c>
      <c r="I77" t="s">
        <v>735</v>
      </c>
      <c r="J77" t="s">
        <v>736</v>
      </c>
      <c r="K77" s="2">
        <v>28055</v>
      </c>
      <c r="L77" s="2">
        <v>28055</v>
      </c>
      <c r="M77" s="2" t="s">
        <v>854</v>
      </c>
      <c r="N77">
        <f t="shared" si="3"/>
        <v>22</v>
      </c>
      <c r="O77" t="s">
        <v>737</v>
      </c>
      <c r="P77">
        <f t="shared" si="4"/>
        <v>10</v>
      </c>
      <c r="Q77" t="s">
        <v>737</v>
      </c>
      <c r="R77">
        <f t="shared" si="5"/>
        <v>1976</v>
      </c>
      <c r="S77" t="s">
        <v>775</v>
      </c>
      <c r="T77" s="5" t="s">
        <v>775</v>
      </c>
    </row>
    <row r="78" spans="1:20" x14ac:dyDescent="0.25">
      <c r="A78" t="s">
        <v>87</v>
      </c>
      <c r="B78" t="s">
        <v>217</v>
      </c>
      <c r="C78" t="s">
        <v>294</v>
      </c>
      <c r="D78" t="s">
        <v>499</v>
      </c>
      <c r="E78" t="s">
        <v>624</v>
      </c>
      <c r="F78" t="s">
        <v>675</v>
      </c>
      <c r="G78" t="s">
        <v>720</v>
      </c>
      <c r="H78" t="s">
        <v>731</v>
      </c>
      <c r="I78" t="s">
        <v>735</v>
      </c>
      <c r="J78" t="s">
        <v>736</v>
      </c>
      <c r="K78" s="2">
        <v>34664</v>
      </c>
      <c r="L78" s="2">
        <v>34664</v>
      </c>
      <c r="M78" s="2" t="s">
        <v>854</v>
      </c>
      <c r="N78">
        <f t="shared" si="3"/>
        <v>26</v>
      </c>
      <c r="O78" t="s">
        <v>737</v>
      </c>
      <c r="P78">
        <f t="shared" si="4"/>
        <v>11</v>
      </c>
      <c r="Q78" t="s">
        <v>737</v>
      </c>
      <c r="R78">
        <f t="shared" si="5"/>
        <v>1994</v>
      </c>
      <c r="S78" t="s">
        <v>776</v>
      </c>
      <c r="T78" s="5" t="s">
        <v>776</v>
      </c>
    </row>
    <row r="79" spans="1:20" x14ac:dyDescent="0.25">
      <c r="A79" t="s">
        <v>88</v>
      </c>
      <c r="B79" t="s">
        <v>217</v>
      </c>
      <c r="C79" t="s">
        <v>295</v>
      </c>
      <c r="D79" t="s">
        <v>500</v>
      </c>
      <c r="E79" t="s">
        <v>618</v>
      </c>
      <c r="F79" t="s">
        <v>669</v>
      </c>
      <c r="G79" t="s">
        <v>713</v>
      </c>
      <c r="H79" t="s">
        <v>724</v>
      </c>
      <c r="I79" t="s">
        <v>735</v>
      </c>
      <c r="J79" t="s">
        <v>736</v>
      </c>
      <c r="K79" s="2">
        <v>34664</v>
      </c>
      <c r="L79" s="2">
        <v>34664</v>
      </c>
      <c r="M79" s="2" t="s">
        <v>854</v>
      </c>
      <c r="N79">
        <f t="shared" si="3"/>
        <v>26</v>
      </c>
      <c r="O79" t="s">
        <v>737</v>
      </c>
      <c r="P79">
        <f t="shared" si="4"/>
        <v>11</v>
      </c>
      <c r="Q79" t="s">
        <v>737</v>
      </c>
      <c r="R79">
        <f t="shared" si="5"/>
        <v>1994</v>
      </c>
      <c r="S79" t="s">
        <v>776</v>
      </c>
      <c r="T79" s="5" t="s">
        <v>776</v>
      </c>
    </row>
    <row r="80" spans="1:20" x14ac:dyDescent="0.25">
      <c r="A80" t="s">
        <v>89</v>
      </c>
      <c r="B80" t="s">
        <v>217</v>
      </c>
      <c r="C80" t="s">
        <v>296</v>
      </c>
      <c r="D80" t="s">
        <v>501</v>
      </c>
      <c r="E80" t="s">
        <v>625</v>
      </c>
      <c r="F80" t="s">
        <v>676</v>
      </c>
      <c r="G80" t="s">
        <v>720</v>
      </c>
      <c r="H80" t="s">
        <v>731</v>
      </c>
      <c r="I80" t="s">
        <v>735</v>
      </c>
      <c r="J80" t="s">
        <v>736</v>
      </c>
      <c r="K80" s="2">
        <v>24298</v>
      </c>
      <c r="L80" s="2">
        <v>24298</v>
      </c>
      <c r="M80" s="2" t="s">
        <v>854</v>
      </c>
      <c r="N80">
        <f t="shared" si="3"/>
        <v>10</v>
      </c>
      <c r="O80" t="s">
        <v>737</v>
      </c>
      <c r="P80">
        <f t="shared" si="4"/>
        <v>7</v>
      </c>
      <c r="Q80" t="s">
        <v>737</v>
      </c>
      <c r="R80">
        <f t="shared" si="5"/>
        <v>1966</v>
      </c>
      <c r="S80" s="3">
        <v>24387</v>
      </c>
      <c r="T80" s="5" t="s">
        <v>891</v>
      </c>
    </row>
    <row r="81" spans="1:20" x14ac:dyDescent="0.25">
      <c r="A81" t="s">
        <v>90</v>
      </c>
      <c r="B81" t="s">
        <v>217</v>
      </c>
      <c r="C81" t="s">
        <v>297</v>
      </c>
      <c r="D81" t="s">
        <v>502</v>
      </c>
      <c r="E81" t="s">
        <v>614</v>
      </c>
      <c r="F81" t="s">
        <v>665</v>
      </c>
      <c r="G81" t="s">
        <v>713</v>
      </c>
      <c r="H81" t="s">
        <v>724</v>
      </c>
      <c r="I81" t="s">
        <v>735</v>
      </c>
      <c r="J81" t="s">
        <v>736</v>
      </c>
      <c r="K81" s="2">
        <v>33230</v>
      </c>
      <c r="L81" s="2">
        <v>33230</v>
      </c>
      <c r="M81" s="2" t="s">
        <v>854</v>
      </c>
      <c r="N81">
        <f t="shared" si="3"/>
        <v>23</v>
      </c>
      <c r="O81" t="s">
        <v>737</v>
      </c>
      <c r="P81">
        <f t="shared" si="4"/>
        <v>12</v>
      </c>
      <c r="Q81" t="s">
        <v>737</v>
      </c>
      <c r="R81">
        <f t="shared" si="5"/>
        <v>1990</v>
      </c>
      <c r="S81" t="s">
        <v>777</v>
      </c>
      <c r="T81" s="5" t="s">
        <v>777</v>
      </c>
    </row>
    <row r="82" spans="1:20" x14ac:dyDescent="0.25">
      <c r="A82" t="s">
        <v>91</v>
      </c>
      <c r="B82" t="s">
        <v>217</v>
      </c>
      <c r="C82" t="s">
        <v>298</v>
      </c>
      <c r="D82" t="s">
        <v>503</v>
      </c>
      <c r="E82" t="s">
        <v>618</v>
      </c>
      <c r="F82" t="s">
        <v>669</v>
      </c>
      <c r="G82" t="s">
        <v>713</v>
      </c>
      <c r="H82" t="s">
        <v>724</v>
      </c>
      <c r="I82" t="s">
        <v>735</v>
      </c>
      <c r="J82" t="s">
        <v>736</v>
      </c>
      <c r="K82" s="2">
        <v>24851</v>
      </c>
      <c r="L82" s="2">
        <v>24851</v>
      </c>
      <c r="M82" s="2" t="s">
        <v>854</v>
      </c>
      <c r="N82">
        <f t="shared" si="3"/>
        <v>14</v>
      </c>
      <c r="O82" t="s">
        <v>737</v>
      </c>
      <c r="P82">
        <f t="shared" si="4"/>
        <v>1</v>
      </c>
      <c r="Q82" t="s">
        <v>737</v>
      </c>
      <c r="R82">
        <f t="shared" si="5"/>
        <v>1968</v>
      </c>
      <c r="S82" t="s">
        <v>778</v>
      </c>
      <c r="T82" s="5" t="s">
        <v>778</v>
      </c>
    </row>
    <row r="83" spans="1:20" x14ac:dyDescent="0.25">
      <c r="A83" t="s">
        <v>92</v>
      </c>
      <c r="B83" t="s">
        <v>217</v>
      </c>
      <c r="C83" t="s">
        <v>299</v>
      </c>
      <c r="D83" t="s">
        <v>504</v>
      </c>
      <c r="E83" t="s">
        <v>628</v>
      </c>
      <c r="F83" t="s">
        <v>679</v>
      </c>
      <c r="G83" t="s">
        <v>718</v>
      </c>
      <c r="H83" t="s">
        <v>729</v>
      </c>
      <c r="I83" t="s">
        <v>735</v>
      </c>
      <c r="J83" t="s">
        <v>736</v>
      </c>
      <c r="K83" s="2">
        <v>26217</v>
      </c>
      <c r="L83" s="2">
        <v>26217</v>
      </c>
      <c r="M83" s="2" t="s">
        <v>854</v>
      </c>
      <c r="N83">
        <f t="shared" si="3"/>
        <v>11</v>
      </c>
      <c r="O83" t="s">
        <v>737</v>
      </c>
      <c r="P83">
        <f t="shared" si="4"/>
        <v>10</v>
      </c>
      <c r="Q83" t="s">
        <v>737</v>
      </c>
      <c r="R83">
        <f t="shared" si="5"/>
        <v>1971</v>
      </c>
      <c r="S83" s="3">
        <v>26247</v>
      </c>
      <c r="T83" s="5" t="s">
        <v>892</v>
      </c>
    </row>
    <row r="84" spans="1:20" x14ac:dyDescent="0.25">
      <c r="A84" t="s">
        <v>93</v>
      </c>
      <c r="B84" t="s">
        <v>217</v>
      </c>
      <c r="C84" t="s">
        <v>300</v>
      </c>
      <c r="D84" t="s">
        <v>434</v>
      </c>
      <c r="E84" t="s">
        <v>629</v>
      </c>
      <c r="F84" t="s">
        <v>680</v>
      </c>
      <c r="G84" t="s">
        <v>718</v>
      </c>
      <c r="H84" t="s">
        <v>729</v>
      </c>
      <c r="I84" t="s">
        <v>735</v>
      </c>
      <c r="J84" t="s">
        <v>736</v>
      </c>
      <c r="K84" s="2">
        <v>26896</v>
      </c>
      <c r="L84" s="2">
        <v>26896</v>
      </c>
      <c r="M84" s="2" t="s">
        <v>854</v>
      </c>
      <c r="N84">
        <f t="shared" si="3"/>
        <v>20</v>
      </c>
      <c r="O84" t="s">
        <v>737</v>
      </c>
      <c r="P84">
        <f t="shared" si="4"/>
        <v>8</v>
      </c>
      <c r="Q84" t="s">
        <v>737</v>
      </c>
      <c r="R84">
        <f t="shared" si="5"/>
        <v>1973</v>
      </c>
      <c r="S84" t="s">
        <v>779</v>
      </c>
      <c r="T84" s="5" t="s">
        <v>779</v>
      </c>
    </row>
    <row r="85" spans="1:20" x14ac:dyDescent="0.25">
      <c r="A85" t="s">
        <v>94</v>
      </c>
      <c r="B85" t="s">
        <v>217</v>
      </c>
      <c r="C85" t="s">
        <v>301</v>
      </c>
      <c r="D85" t="s">
        <v>434</v>
      </c>
      <c r="E85" t="s">
        <v>615</v>
      </c>
      <c r="F85" t="s">
        <v>666</v>
      </c>
      <c r="G85" t="s">
        <v>716</v>
      </c>
      <c r="H85" t="s">
        <v>727</v>
      </c>
      <c r="I85" t="s">
        <v>735</v>
      </c>
      <c r="J85" t="s">
        <v>736</v>
      </c>
      <c r="K85" s="2">
        <v>32077</v>
      </c>
      <c r="L85" s="2">
        <v>32077</v>
      </c>
      <c r="M85" s="2" t="s">
        <v>854</v>
      </c>
      <c r="N85">
        <f t="shared" si="3"/>
        <v>27</v>
      </c>
      <c r="O85" t="s">
        <v>737</v>
      </c>
      <c r="P85">
        <f t="shared" si="4"/>
        <v>10</v>
      </c>
      <c r="Q85" t="s">
        <v>737</v>
      </c>
      <c r="R85">
        <f t="shared" si="5"/>
        <v>1987</v>
      </c>
      <c r="S85" t="s">
        <v>780</v>
      </c>
      <c r="T85" s="5" t="s">
        <v>780</v>
      </c>
    </row>
    <row r="86" spans="1:20" x14ac:dyDescent="0.25">
      <c r="A86" t="s">
        <v>95</v>
      </c>
      <c r="B86" t="s">
        <v>217</v>
      </c>
      <c r="C86" t="s">
        <v>302</v>
      </c>
      <c r="D86" t="s">
        <v>505</v>
      </c>
      <c r="E86" t="s">
        <v>630</v>
      </c>
      <c r="F86" t="s">
        <v>681</v>
      </c>
      <c r="G86" t="s">
        <v>722</v>
      </c>
      <c r="H86" t="s">
        <v>733</v>
      </c>
      <c r="I86" t="s">
        <v>735</v>
      </c>
      <c r="J86" t="s">
        <v>736</v>
      </c>
      <c r="K86" s="2">
        <v>23503</v>
      </c>
      <c r="L86" s="2">
        <v>23503</v>
      </c>
      <c r="M86" s="2" t="s">
        <v>854</v>
      </c>
      <c r="N86">
        <f t="shared" si="3"/>
        <v>6</v>
      </c>
      <c r="O86" t="s">
        <v>737</v>
      </c>
      <c r="P86">
        <f t="shared" si="4"/>
        <v>5</v>
      </c>
      <c r="Q86" t="s">
        <v>737</v>
      </c>
      <c r="R86">
        <f t="shared" si="5"/>
        <v>1964</v>
      </c>
      <c r="S86" s="3">
        <v>23533</v>
      </c>
      <c r="T86" s="5" t="s">
        <v>893</v>
      </c>
    </row>
    <row r="87" spans="1:20" x14ac:dyDescent="0.25">
      <c r="A87" t="s">
        <v>96</v>
      </c>
      <c r="B87" t="s">
        <v>217</v>
      </c>
      <c r="C87" t="s">
        <v>303</v>
      </c>
      <c r="D87" t="s">
        <v>506</v>
      </c>
      <c r="E87" t="s">
        <v>630</v>
      </c>
      <c r="F87" t="s">
        <v>681</v>
      </c>
      <c r="G87" t="s">
        <v>722</v>
      </c>
      <c r="H87" t="s">
        <v>733</v>
      </c>
      <c r="I87" t="s">
        <v>735</v>
      </c>
      <c r="J87" t="s">
        <v>736</v>
      </c>
      <c r="K87" s="2">
        <v>31723</v>
      </c>
      <c r="L87" s="2">
        <v>31723</v>
      </c>
      <c r="M87" s="2" t="s">
        <v>854</v>
      </c>
      <c r="N87">
        <f t="shared" si="3"/>
        <v>7</v>
      </c>
      <c r="O87" t="s">
        <v>737</v>
      </c>
      <c r="P87">
        <f t="shared" si="4"/>
        <v>11</v>
      </c>
      <c r="Q87" t="s">
        <v>737</v>
      </c>
      <c r="R87">
        <f t="shared" si="5"/>
        <v>1986</v>
      </c>
      <c r="S87" s="3">
        <v>31604</v>
      </c>
      <c r="T87" s="5" t="s">
        <v>894</v>
      </c>
    </row>
    <row r="88" spans="1:20" x14ac:dyDescent="0.25">
      <c r="A88" t="s">
        <v>97</v>
      </c>
      <c r="B88" t="s">
        <v>217</v>
      </c>
      <c r="C88" t="s">
        <v>304</v>
      </c>
      <c r="D88" t="s">
        <v>507</v>
      </c>
      <c r="E88" t="s">
        <v>630</v>
      </c>
      <c r="F88" t="s">
        <v>681</v>
      </c>
      <c r="G88" t="s">
        <v>722</v>
      </c>
      <c r="H88" t="s">
        <v>733</v>
      </c>
      <c r="I88" t="s">
        <v>735</v>
      </c>
      <c r="J88" t="s">
        <v>736</v>
      </c>
      <c r="K88" s="2">
        <v>30703</v>
      </c>
      <c r="L88" s="2">
        <v>30703</v>
      </c>
      <c r="M88" s="2" t="s">
        <v>854</v>
      </c>
      <c r="N88">
        <f t="shared" si="3"/>
        <v>22</v>
      </c>
      <c r="O88" t="s">
        <v>737</v>
      </c>
      <c r="P88">
        <f t="shared" si="4"/>
        <v>1</v>
      </c>
      <c r="Q88" t="s">
        <v>737</v>
      </c>
      <c r="R88">
        <f t="shared" si="5"/>
        <v>1984</v>
      </c>
      <c r="S88" t="s">
        <v>781</v>
      </c>
      <c r="T88" s="5" t="s">
        <v>781</v>
      </c>
    </row>
    <row r="89" spans="1:20" x14ac:dyDescent="0.25">
      <c r="A89" t="s">
        <v>98</v>
      </c>
      <c r="B89" t="s">
        <v>217</v>
      </c>
      <c r="C89" t="s">
        <v>305</v>
      </c>
      <c r="D89" t="s">
        <v>508</v>
      </c>
      <c r="E89" t="s">
        <v>624</v>
      </c>
      <c r="F89" t="s">
        <v>675</v>
      </c>
      <c r="G89" t="s">
        <v>720</v>
      </c>
      <c r="H89" t="s">
        <v>731</v>
      </c>
      <c r="I89" t="s">
        <v>735</v>
      </c>
      <c r="J89" t="s">
        <v>736</v>
      </c>
      <c r="K89" s="2">
        <v>30876</v>
      </c>
      <c r="L89" s="2">
        <v>30876</v>
      </c>
      <c r="M89" s="2" t="s">
        <v>854</v>
      </c>
      <c r="N89">
        <f t="shared" si="3"/>
        <v>13</v>
      </c>
      <c r="O89" t="s">
        <v>737</v>
      </c>
      <c r="P89">
        <f t="shared" si="4"/>
        <v>7</v>
      </c>
      <c r="Q89" t="s">
        <v>737</v>
      </c>
      <c r="R89">
        <f t="shared" si="5"/>
        <v>1984</v>
      </c>
      <c r="S89" t="s">
        <v>782</v>
      </c>
      <c r="T89" s="5" t="s">
        <v>782</v>
      </c>
    </row>
    <row r="90" spans="1:20" x14ac:dyDescent="0.25">
      <c r="A90" t="s">
        <v>99</v>
      </c>
      <c r="B90" t="s">
        <v>217</v>
      </c>
      <c r="C90" t="s">
        <v>306</v>
      </c>
      <c r="D90" t="s">
        <v>509</v>
      </c>
      <c r="E90" t="s">
        <v>624</v>
      </c>
      <c r="F90" t="s">
        <v>675</v>
      </c>
      <c r="G90" t="s">
        <v>720</v>
      </c>
      <c r="H90" t="s">
        <v>731</v>
      </c>
      <c r="I90" t="s">
        <v>735</v>
      </c>
      <c r="J90" t="s">
        <v>736</v>
      </c>
      <c r="K90" s="2">
        <v>30161</v>
      </c>
      <c r="L90" s="2">
        <v>30161</v>
      </c>
      <c r="M90" s="2" t="s">
        <v>854</v>
      </c>
      <c r="N90">
        <f t="shared" si="3"/>
        <v>29</v>
      </c>
      <c r="O90" t="s">
        <v>737</v>
      </c>
      <c r="P90">
        <f t="shared" si="4"/>
        <v>7</v>
      </c>
      <c r="Q90" t="s">
        <v>737</v>
      </c>
      <c r="R90">
        <f t="shared" si="5"/>
        <v>1982</v>
      </c>
      <c r="S90" t="s">
        <v>783</v>
      </c>
      <c r="T90" s="5" t="s">
        <v>783</v>
      </c>
    </row>
    <row r="91" spans="1:20" x14ac:dyDescent="0.25">
      <c r="A91" t="s">
        <v>100</v>
      </c>
      <c r="B91" t="s">
        <v>217</v>
      </c>
      <c r="C91" t="s">
        <v>307</v>
      </c>
      <c r="D91" t="s">
        <v>510</v>
      </c>
      <c r="E91" t="s">
        <v>631</v>
      </c>
      <c r="F91" t="s">
        <v>682</v>
      </c>
      <c r="G91" t="s">
        <v>716</v>
      </c>
      <c r="H91" t="s">
        <v>727</v>
      </c>
      <c r="I91" t="s">
        <v>735</v>
      </c>
      <c r="J91" t="s">
        <v>736</v>
      </c>
      <c r="K91" s="2">
        <v>35606</v>
      </c>
      <c r="L91" s="2">
        <v>35606</v>
      </c>
      <c r="M91" s="2" t="s">
        <v>854</v>
      </c>
      <c r="N91">
        <f t="shared" si="3"/>
        <v>25</v>
      </c>
      <c r="O91" t="s">
        <v>737</v>
      </c>
      <c r="P91">
        <f t="shared" si="4"/>
        <v>6</v>
      </c>
      <c r="Q91" t="s">
        <v>737</v>
      </c>
      <c r="R91">
        <f t="shared" si="5"/>
        <v>1997</v>
      </c>
      <c r="S91" t="s">
        <v>784</v>
      </c>
      <c r="T91" s="5" t="s">
        <v>784</v>
      </c>
    </row>
    <row r="92" spans="1:20" x14ac:dyDescent="0.25">
      <c r="A92" t="s">
        <v>101</v>
      </c>
      <c r="B92" t="s">
        <v>217</v>
      </c>
      <c r="C92" t="s">
        <v>308</v>
      </c>
      <c r="D92" t="s">
        <v>511</v>
      </c>
      <c r="E92" t="s">
        <v>632</v>
      </c>
      <c r="F92" t="s">
        <v>683</v>
      </c>
      <c r="G92" t="s">
        <v>718</v>
      </c>
      <c r="H92" t="s">
        <v>729</v>
      </c>
      <c r="I92" t="s">
        <v>735</v>
      </c>
      <c r="J92" t="s">
        <v>736</v>
      </c>
      <c r="K92" s="2">
        <v>31163</v>
      </c>
      <c r="L92" s="2">
        <v>31163</v>
      </c>
      <c r="M92" s="2" t="s">
        <v>854</v>
      </c>
      <c r="N92">
        <f t="shared" si="3"/>
        <v>26</v>
      </c>
      <c r="O92" t="s">
        <v>737</v>
      </c>
      <c r="P92">
        <f t="shared" si="4"/>
        <v>4</v>
      </c>
      <c r="Q92" t="s">
        <v>737</v>
      </c>
      <c r="R92">
        <f t="shared" si="5"/>
        <v>1985</v>
      </c>
      <c r="S92" t="s">
        <v>785</v>
      </c>
      <c r="T92" s="5" t="s">
        <v>785</v>
      </c>
    </row>
    <row r="93" spans="1:20" x14ac:dyDescent="0.25">
      <c r="A93" t="s">
        <v>102</v>
      </c>
      <c r="B93" t="s">
        <v>217</v>
      </c>
      <c r="C93" t="s">
        <v>309</v>
      </c>
      <c r="D93" t="s">
        <v>512</v>
      </c>
      <c r="E93" t="s">
        <v>633</v>
      </c>
      <c r="F93" t="s">
        <v>684</v>
      </c>
      <c r="G93" t="s">
        <v>715</v>
      </c>
      <c r="H93" t="s">
        <v>726</v>
      </c>
      <c r="I93" t="s">
        <v>735</v>
      </c>
      <c r="J93" t="s">
        <v>736</v>
      </c>
      <c r="K93" s="2">
        <v>44697</v>
      </c>
      <c r="L93" s="2">
        <v>44697</v>
      </c>
      <c r="M93" s="2" t="s">
        <v>854</v>
      </c>
      <c r="N93">
        <f t="shared" si="3"/>
        <v>16</v>
      </c>
      <c r="O93" t="s">
        <v>737</v>
      </c>
      <c r="P93">
        <f t="shared" si="4"/>
        <v>5</v>
      </c>
      <c r="Q93" t="s">
        <v>737</v>
      </c>
      <c r="R93">
        <f t="shared" si="5"/>
        <v>2022</v>
      </c>
      <c r="S93" t="s">
        <v>786</v>
      </c>
      <c r="T93" s="5" t="s">
        <v>786</v>
      </c>
    </row>
    <row r="94" spans="1:20" x14ac:dyDescent="0.25">
      <c r="A94" t="s">
        <v>103</v>
      </c>
      <c r="B94" t="s">
        <v>217</v>
      </c>
      <c r="C94" t="s">
        <v>310</v>
      </c>
      <c r="D94" t="s">
        <v>513</v>
      </c>
      <c r="E94" t="s">
        <v>630</v>
      </c>
      <c r="F94" t="s">
        <v>681</v>
      </c>
      <c r="G94" t="s">
        <v>722</v>
      </c>
      <c r="H94" t="s">
        <v>733</v>
      </c>
      <c r="I94" t="s">
        <v>735</v>
      </c>
      <c r="J94" t="s">
        <v>736</v>
      </c>
      <c r="K94" s="2">
        <v>30932</v>
      </c>
      <c r="L94" s="2">
        <v>30932</v>
      </c>
      <c r="M94" s="2" t="s">
        <v>854</v>
      </c>
      <c r="N94">
        <f t="shared" si="3"/>
        <v>7</v>
      </c>
      <c r="O94" t="s">
        <v>737</v>
      </c>
      <c r="P94">
        <f t="shared" si="4"/>
        <v>9</v>
      </c>
      <c r="Q94" t="s">
        <v>737</v>
      </c>
      <c r="R94">
        <f t="shared" si="5"/>
        <v>1984</v>
      </c>
      <c r="S94" s="3">
        <v>30872</v>
      </c>
      <c r="T94" s="5" t="s">
        <v>895</v>
      </c>
    </row>
    <row r="95" spans="1:20" x14ac:dyDescent="0.25">
      <c r="A95" t="s">
        <v>104</v>
      </c>
      <c r="B95" t="s">
        <v>217</v>
      </c>
      <c r="C95" t="s">
        <v>311</v>
      </c>
      <c r="D95" t="s">
        <v>514</v>
      </c>
      <c r="E95" t="s">
        <v>630</v>
      </c>
      <c r="F95" t="s">
        <v>681</v>
      </c>
      <c r="G95" t="s">
        <v>722</v>
      </c>
      <c r="H95" t="s">
        <v>733</v>
      </c>
      <c r="I95" t="s">
        <v>735</v>
      </c>
      <c r="J95" t="s">
        <v>736</v>
      </c>
      <c r="K95" s="2">
        <v>30941</v>
      </c>
      <c r="L95" s="2">
        <v>30941</v>
      </c>
      <c r="M95" s="2" t="s">
        <v>854</v>
      </c>
      <c r="N95">
        <f t="shared" si="3"/>
        <v>16</v>
      </c>
      <c r="O95" t="s">
        <v>737</v>
      </c>
      <c r="P95">
        <f t="shared" si="4"/>
        <v>9</v>
      </c>
      <c r="Q95" t="s">
        <v>737</v>
      </c>
      <c r="R95">
        <f t="shared" si="5"/>
        <v>1984</v>
      </c>
      <c r="S95" t="s">
        <v>787</v>
      </c>
      <c r="T95" s="5" t="s">
        <v>787</v>
      </c>
    </row>
    <row r="96" spans="1:20" x14ac:dyDescent="0.25">
      <c r="A96" t="s">
        <v>105</v>
      </c>
      <c r="B96" t="s">
        <v>217</v>
      </c>
      <c r="C96" t="s">
        <v>312</v>
      </c>
      <c r="D96" t="s">
        <v>515</v>
      </c>
      <c r="E96" t="s">
        <v>634</v>
      </c>
      <c r="F96" t="s">
        <v>685</v>
      </c>
      <c r="G96" t="s">
        <v>723</v>
      </c>
      <c r="H96" t="s">
        <v>734</v>
      </c>
      <c r="I96" t="s">
        <v>735</v>
      </c>
      <c r="J96" t="s">
        <v>736</v>
      </c>
      <c r="K96" s="2">
        <v>31596</v>
      </c>
      <c r="L96" s="2">
        <v>31596</v>
      </c>
      <c r="M96" s="2" t="s">
        <v>854</v>
      </c>
      <c r="N96">
        <f t="shared" si="3"/>
        <v>3</v>
      </c>
      <c r="O96" t="s">
        <v>737</v>
      </c>
      <c r="P96">
        <f t="shared" si="4"/>
        <v>7</v>
      </c>
      <c r="Q96" t="s">
        <v>737</v>
      </c>
      <c r="R96">
        <f t="shared" si="5"/>
        <v>1986</v>
      </c>
      <c r="S96" s="3">
        <v>31478</v>
      </c>
      <c r="T96" s="5" t="s">
        <v>896</v>
      </c>
    </row>
    <row r="97" spans="1:20" x14ac:dyDescent="0.25">
      <c r="A97" t="s">
        <v>106</v>
      </c>
      <c r="B97" t="s">
        <v>217</v>
      </c>
      <c r="C97" t="s">
        <v>313</v>
      </c>
      <c r="D97" t="s">
        <v>516</v>
      </c>
      <c r="G97" t="s">
        <v>717</v>
      </c>
      <c r="H97" t="s">
        <v>728</v>
      </c>
      <c r="I97" t="s">
        <v>735</v>
      </c>
      <c r="J97" t="s">
        <v>736</v>
      </c>
      <c r="K97" s="2">
        <v>30796</v>
      </c>
      <c r="L97" s="2">
        <v>30796</v>
      </c>
      <c r="M97" s="2" t="s">
        <v>854</v>
      </c>
      <c r="N97">
        <f t="shared" si="3"/>
        <v>24</v>
      </c>
      <c r="O97" t="s">
        <v>737</v>
      </c>
      <c r="P97">
        <f t="shared" si="4"/>
        <v>4</v>
      </c>
      <c r="Q97" t="s">
        <v>737</v>
      </c>
      <c r="R97">
        <f t="shared" si="5"/>
        <v>1984</v>
      </c>
      <c r="S97" t="s">
        <v>788</v>
      </c>
      <c r="T97" s="5" t="s">
        <v>788</v>
      </c>
    </row>
    <row r="98" spans="1:20" x14ac:dyDescent="0.25">
      <c r="A98" t="s">
        <v>107</v>
      </c>
      <c r="B98" t="s">
        <v>217</v>
      </c>
      <c r="C98" t="s">
        <v>314</v>
      </c>
      <c r="D98" t="s">
        <v>517</v>
      </c>
      <c r="E98" t="s">
        <v>635</v>
      </c>
      <c r="F98" t="s">
        <v>686</v>
      </c>
      <c r="G98" t="s">
        <v>717</v>
      </c>
      <c r="H98" t="s">
        <v>728</v>
      </c>
      <c r="I98" t="s">
        <v>735</v>
      </c>
      <c r="J98" t="s">
        <v>736</v>
      </c>
      <c r="K98" s="2">
        <v>29815</v>
      </c>
      <c r="L98" s="2">
        <v>29815</v>
      </c>
      <c r="M98" s="2" t="s">
        <v>854</v>
      </c>
      <c r="N98">
        <f t="shared" si="3"/>
        <v>17</v>
      </c>
      <c r="O98" t="s">
        <v>737</v>
      </c>
      <c r="P98">
        <f t="shared" si="4"/>
        <v>8</v>
      </c>
      <c r="Q98" t="s">
        <v>737</v>
      </c>
      <c r="R98">
        <f t="shared" si="5"/>
        <v>1981</v>
      </c>
      <c r="S98" t="s">
        <v>789</v>
      </c>
      <c r="T98" s="5" t="s">
        <v>789</v>
      </c>
    </row>
    <row r="99" spans="1:20" x14ac:dyDescent="0.25">
      <c r="A99" t="s">
        <v>108</v>
      </c>
      <c r="B99" t="s">
        <v>217</v>
      </c>
      <c r="C99" t="s">
        <v>315</v>
      </c>
      <c r="D99" t="s">
        <v>518</v>
      </c>
      <c r="E99" t="s">
        <v>627</v>
      </c>
      <c r="F99" t="s">
        <v>678</v>
      </c>
      <c r="G99" t="s">
        <v>721</v>
      </c>
      <c r="H99" t="s">
        <v>732</v>
      </c>
      <c r="I99" t="s">
        <v>735</v>
      </c>
      <c r="J99" t="s">
        <v>736</v>
      </c>
      <c r="K99" s="2">
        <v>32748</v>
      </c>
      <c r="L99" s="2">
        <v>32748</v>
      </c>
      <c r="M99" s="2" t="s">
        <v>854</v>
      </c>
      <c r="N99">
        <f t="shared" si="3"/>
        <v>28</v>
      </c>
      <c r="O99" t="s">
        <v>737</v>
      </c>
      <c r="P99">
        <f t="shared" si="4"/>
        <v>8</v>
      </c>
      <c r="Q99" t="s">
        <v>737</v>
      </c>
      <c r="R99">
        <f t="shared" si="5"/>
        <v>1989</v>
      </c>
      <c r="S99" t="s">
        <v>790</v>
      </c>
      <c r="T99" s="5" t="s">
        <v>790</v>
      </c>
    </row>
    <row r="100" spans="1:20" x14ac:dyDescent="0.25">
      <c r="A100" t="s">
        <v>109</v>
      </c>
      <c r="B100" t="s">
        <v>217</v>
      </c>
      <c r="C100" t="s">
        <v>316</v>
      </c>
      <c r="D100" t="s">
        <v>519</v>
      </c>
      <c r="E100" t="s">
        <v>627</v>
      </c>
      <c r="F100" t="s">
        <v>678</v>
      </c>
      <c r="G100" t="s">
        <v>721</v>
      </c>
      <c r="H100" t="s">
        <v>732</v>
      </c>
      <c r="I100" t="s">
        <v>735</v>
      </c>
      <c r="J100" t="s">
        <v>736</v>
      </c>
      <c r="K100" s="2">
        <v>24279</v>
      </c>
      <c r="L100" s="2">
        <v>24279</v>
      </c>
      <c r="M100" s="2" t="s">
        <v>854</v>
      </c>
      <c r="N100">
        <f t="shared" si="3"/>
        <v>21</v>
      </c>
      <c r="O100" t="s">
        <v>737</v>
      </c>
      <c r="P100">
        <f t="shared" si="4"/>
        <v>6</v>
      </c>
      <c r="Q100" t="s">
        <v>737</v>
      </c>
      <c r="R100">
        <f t="shared" si="5"/>
        <v>1966</v>
      </c>
      <c r="S100" t="s">
        <v>791</v>
      </c>
      <c r="T100" s="5" t="s">
        <v>791</v>
      </c>
    </row>
    <row r="101" spans="1:20" x14ac:dyDescent="0.25">
      <c r="A101" t="s">
        <v>110</v>
      </c>
      <c r="B101" t="s">
        <v>217</v>
      </c>
      <c r="C101" t="s">
        <v>317</v>
      </c>
      <c r="D101" t="s">
        <v>520</v>
      </c>
      <c r="E101" t="s">
        <v>636</v>
      </c>
      <c r="F101" t="s">
        <v>687</v>
      </c>
      <c r="G101" t="s">
        <v>721</v>
      </c>
      <c r="H101" t="s">
        <v>732</v>
      </c>
      <c r="I101" t="s">
        <v>735</v>
      </c>
      <c r="J101" t="s">
        <v>736</v>
      </c>
      <c r="K101" s="2">
        <v>26467</v>
      </c>
      <c r="L101" s="2">
        <v>26467</v>
      </c>
      <c r="M101" s="2" t="s">
        <v>854</v>
      </c>
      <c r="N101">
        <f t="shared" si="3"/>
        <v>17</v>
      </c>
      <c r="O101" t="s">
        <v>737</v>
      </c>
      <c r="P101">
        <f t="shared" si="4"/>
        <v>6</v>
      </c>
      <c r="Q101" t="s">
        <v>737</v>
      </c>
      <c r="R101">
        <f t="shared" si="5"/>
        <v>1972</v>
      </c>
      <c r="S101" t="s">
        <v>792</v>
      </c>
      <c r="T101" s="5" t="s">
        <v>792</v>
      </c>
    </row>
    <row r="102" spans="1:20" x14ac:dyDescent="0.25">
      <c r="A102" t="s">
        <v>111</v>
      </c>
      <c r="B102" t="s">
        <v>217</v>
      </c>
      <c r="C102" t="s">
        <v>318</v>
      </c>
      <c r="D102" t="s">
        <v>521</v>
      </c>
      <c r="E102" t="s">
        <v>635</v>
      </c>
      <c r="F102" t="s">
        <v>686</v>
      </c>
      <c r="G102" t="s">
        <v>717</v>
      </c>
      <c r="H102" t="s">
        <v>728</v>
      </c>
      <c r="I102" t="s">
        <v>735</v>
      </c>
      <c r="J102" t="s">
        <v>736</v>
      </c>
      <c r="K102" s="2">
        <v>33906</v>
      </c>
      <c r="L102" s="2">
        <v>33906</v>
      </c>
      <c r="M102" s="2" t="s">
        <v>854</v>
      </c>
      <c r="N102">
        <f t="shared" si="3"/>
        <v>29</v>
      </c>
      <c r="O102" t="s">
        <v>737</v>
      </c>
      <c r="P102">
        <f t="shared" si="4"/>
        <v>10</v>
      </c>
      <c r="Q102" t="s">
        <v>737</v>
      </c>
      <c r="R102">
        <f t="shared" si="5"/>
        <v>1992</v>
      </c>
      <c r="S102" t="s">
        <v>793</v>
      </c>
      <c r="T102" s="5" t="s">
        <v>793</v>
      </c>
    </row>
    <row r="103" spans="1:20" x14ac:dyDescent="0.25">
      <c r="A103" t="s">
        <v>112</v>
      </c>
      <c r="B103" t="s">
        <v>217</v>
      </c>
      <c r="C103" t="s">
        <v>319</v>
      </c>
      <c r="D103" t="s">
        <v>522</v>
      </c>
      <c r="E103" t="s">
        <v>611</v>
      </c>
      <c r="F103" t="s">
        <v>662</v>
      </c>
      <c r="G103" t="s">
        <v>714</v>
      </c>
      <c r="H103" t="s">
        <v>725</v>
      </c>
      <c r="I103" t="s">
        <v>735</v>
      </c>
      <c r="J103" t="s">
        <v>736</v>
      </c>
      <c r="K103" s="2">
        <v>34757</v>
      </c>
      <c r="L103" s="2">
        <v>34757</v>
      </c>
      <c r="M103" s="2" t="s">
        <v>854</v>
      </c>
      <c r="N103">
        <f t="shared" si="3"/>
        <v>27</v>
      </c>
      <c r="O103" t="s">
        <v>737</v>
      </c>
      <c r="P103">
        <f t="shared" si="4"/>
        <v>2</v>
      </c>
      <c r="Q103" t="s">
        <v>737</v>
      </c>
      <c r="R103">
        <f t="shared" si="5"/>
        <v>1995</v>
      </c>
      <c r="S103" t="s">
        <v>794</v>
      </c>
      <c r="T103" s="5" t="s">
        <v>794</v>
      </c>
    </row>
    <row r="104" spans="1:20" x14ac:dyDescent="0.25">
      <c r="A104" t="s">
        <v>113</v>
      </c>
      <c r="B104" t="s">
        <v>217</v>
      </c>
      <c r="C104" t="s">
        <v>320</v>
      </c>
      <c r="D104" t="s">
        <v>523</v>
      </c>
      <c r="E104" t="s">
        <v>635</v>
      </c>
      <c r="F104" t="s">
        <v>686</v>
      </c>
      <c r="G104" t="s">
        <v>717</v>
      </c>
      <c r="H104" t="s">
        <v>728</v>
      </c>
      <c r="I104" t="s">
        <v>735</v>
      </c>
      <c r="J104" t="s">
        <v>736</v>
      </c>
      <c r="K104" s="2">
        <v>32642</v>
      </c>
      <c r="L104" s="2">
        <v>32642</v>
      </c>
      <c r="M104" s="2" t="s">
        <v>854</v>
      </c>
      <c r="N104">
        <f t="shared" si="3"/>
        <v>14</v>
      </c>
      <c r="O104" t="s">
        <v>737</v>
      </c>
      <c r="P104">
        <f t="shared" si="4"/>
        <v>5</v>
      </c>
      <c r="Q104" t="s">
        <v>737</v>
      </c>
      <c r="R104">
        <f t="shared" si="5"/>
        <v>1989</v>
      </c>
      <c r="S104" t="s">
        <v>795</v>
      </c>
      <c r="T104" s="5" t="s">
        <v>795</v>
      </c>
    </row>
    <row r="105" spans="1:20" x14ac:dyDescent="0.25">
      <c r="A105" t="s">
        <v>114</v>
      </c>
      <c r="B105" t="s">
        <v>217</v>
      </c>
      <c r="C105" t="s">
        <v>321</v>
      </c>
      <c r="D105" t="s">
        <v>524</v>
      </c>
      <c r="E105" t="s">
        <v>637</v>
      </c>
      <c r="F105" t="s">
        <v>688</v>
      </c>
      <c r="G105" t="s">
        <v>719</v>
      </c>
      <c r="H105" t="s">
        <v>730</v>
      </c>
      <c r="I105" t="s">
        <v>735</v>
      </c>
      <c r="J105" t="s">
        <v>736</v>
      </c>
      <c r="K105" s="2">
        <v>33504</v>
      </c>
      <c r="L105" s="2">
        <v>33504</v>
      </c>
      <c r="M105" s="2" t="s">
        <v>854</v>
      </c>
      <c r="N105">
        <f t="shared" si="3"/>
        <v>23</v>
      </c>
      <c r="O105" t="s">
        <v>737</v>
      </c>
      <c r="P105">
        <f t="shared" si="4"/>
        <v>9</v>
      </c>
      <c r="Q105" t="s">
        <v>737</v>
      </c>
      <c r="R105">
        <f t="shared" si="5"/>
        <v>1991</v>
      </c>
      <c r="S105" t="s">
        <v>796</v>
      </c>
      <c r="T105" s="5" t="s">
        <v>796</v>
      </c>
    </row>
    <row r="106" spans="1:20" x14ac:dyDescent="0.25">
      <c r="A106" t="s">
        <v>115</v>
      </c>
      <c r="B106" t="s">
        <v>217</v>
      </c>
      <c r="C106" t="s">
        <v>322</v>
      </c>
      <c r="D106" t="s">
        <v>525</v>
      </c>
      <c r="E106" t="s">
        <v>611</v>
      </c>
      <c r="F106" t="s">
        <v>662</v>
      </c>
      <c r="G106" t="s">
        <v>714</v>
      </c>
      <c r="H106" t="s">
        <v>725</v>
      </c>
      <c r="I106" t="s">
        <v>735</v>
      </c>
      <c r="J106" t="s">
        <v>736</v>
      </c>
      <c r="K106" s="2">
        <v>34618</v>
      </c>
      <c r="L106" s="2">
        <v>34618</v>
      </c>
      <c r="M106" s="2" t="s">
        <v>854</v>
      </c>
      <c r="N106">
        <f t="shared" si="3"/>
        <v>11</v>
      </c>
      <c r="O106" t="s">
        <v>737</v>
      </c>
      <c r="P106">
        <f t="shared" si="4"/>
        <v>10</v>
      </c>
      <c r="Q106" t="s">
        <v>737</v>
      </c>
      <c r="R106">
        <f t="shared" si="5"/>
        <v>1994</v>
      </c>
      <c r="S106" s="3">
        <v>34648</v>
      </c>
      <c r="T106" s="5" t="s">
        <v>897</v>
      </c>
    </row>
    <row r="107" spans="1:20" x14ac:dyDescent="0.25">
      <c r="A107" t="s">
        <v>116</v>
      </c>
      <c r="B107" t="s">
        <v>217</v>
      </c>
      <c r="C107" t="s">
        <v>323</v>
      </c>
      <c r="D107" t="s">
        <v>434</v>
      </c>
      <c r="E107" t="s">
        <v>621</v>
      </c>
      <c r="F107" t="s">
        <v>672</v>
      </c>
      <c r="G107" t="s">
        <v>718</v>
      </c>
      <c r="H107" t="s">
        <v>729</v>
      </c>
      <c r="I107" t="s">
        <v>735</v>
      </c>
      <c r="J107" t="s">
        <v>736</v>
      </c>
      <c r="K107" s="2">
        <v>34043</v>
      </c>
      <c r="L107" s="2">
        <v>34043</v>
      </c>
      <c r="M107" s="2" t="s">
        <v>854</v>
      </c>
      <c r="N107">
        <f t="shared" si="3"/>
        <v>15</v>
      </c>
      <c r="O107" t="s">
        <v>737</v>
      </c>
      <c r="P107">
        <f t="shared" si="4"/>
        <v>3</v>
      </c>
      <c r="Q107" t="s">
        <v>737</v>
      </c>
      <c r="R107">
        <f t="shared" si="5"/>
        <v>1993</v>
      </c>
      <c r="S107" t="s">
        <v>797</v>
      </c>
      <c r="T107" s="5" t="s">
        <v>797</v>
      </c>
    </row>
    <row r="108" spans="1:20" x14ac:dyDescent="0.25">
      <c r="A108" t="s">
        <v>117</v>
      </c>
      <c r="B108" t="s">
        <v>217</v>
      </c>
      <c r="C108" t="s">
        <v>324</v>
      </c>
      <c r="D108" t="s">
        <v>526</v>
      </c>
      <c r="E108" t="s">
        <v>638</v>
      </c>
      <c r="F108" t="s">
        <v>689</v>
      </c>
      <c r="G108" t="s">
        <v>716</v>
      </c>
      <c r="H108" t="s">
        <v>727</v>
      </c>
      <c r="I108" t="s">
        <v>735</v>
      </c>
      <c r="J108" t="s">
        <v>736</v>
      </c>
      <c r="K108" s="2">
        <v>32699</v>
      </c>
      <c r="L108" s="2">
        <v>32699</v>
      </c>
      <c r="M108" s="2" t="s">
        <v>854</v>
      </c>
      <c r="N108">
        <f t="shared" si="3"/>
        <v>10</v>
      </c>
      <c r="O108" t="s">
        <v>737</v>
      </c>
      <c r="P108">
        <f t="shared" si="4"/>
        <v>7</v>
      </c>
      <c r="Q108" t="s">
        <v>737</v>
      </c>
      <c r="R108">
        <f t="shared" si="5"/>
        <v>1989</v>
      </c>
      <c r="S108" s="3">
        <v>32788</v>
      </c>
      <c r="T108" s="5" t="s">
        <v>898</v>
      </c>
    </row>
    <row r="109" spans="1:20" x14ac:dyDescent="0.25">
      <c r="A109" t="s">
        <v>118</v>
      </c>
      <c r="B109" t="s">
        <v>217</v>
      </c>
      <c r="C109" t="s">
        <v>325</v>
      </c>
      <c r="D109" t="s">
        <v>527</v>
      </c>
      <c r="E109" t="s">
        <v>619</v>
      </c>
      <c r="F109" t="s">
        <v>670</v>
      </c>
      <c r="G109" t="s">
        <v>717</v>
      </c>
      <c r="H109" t="s">
        <v>728</v>
      </c>
      <c r="I109" t="s">
        <v>735</v>
      </c>
      <c r="J109" t="s">
        <v>736</v>
      </c>
      <c r="K109" s="2">
        <v>27913</v>
      </c>
      <c r="L109" s="2">
        <v>27913</v>
      </c>
      <c r="M109" s="2" t="s">
        <v>854</v>
      </c>
      <c r="N109">
        <f t="shared" si="3"/>
        <v>2</v>
      </c>
      <c r="O109" t="s">
        <v>737</v>
      </c>
      <c r="P109">
        <f t="shared" si="4"/>
        <v>6</v>
      </c>
      <c r="Q109" t="s">
        <v>737</v>
      </c>
      <c r="R109">
        <f t="shared" si="5"/>
        <v>1976</v>
      </c>
      <c r="S109" s="3">
        <v>27796</v>
      </c>
      <c r="T109" s="5" t="s">
        <v>899</v>
      </c>
    </row>
    <row r="110" spans="1:20" x14ac:dyDescent="0.25">
      <c r="A110" t="s">
        <v>119</v>
      </c>
      <c r="B110" t="s">
        <v>217</v>
      </c>
      <c r="C110" t="s">
        <v>326</v>
      </c>
      <c r="D110" t="s">
        <v>528</v>
      </c>
      <c r="E110" t="s">
        <v>639</v>
      </c>
      <c r="F110" t="s">
        <v>690</v>
      </c>
      <c r="G110" t="s">
        <v>714</v>
      </c>
      <c r="H110" t="s">
        <v>725</v>
      </c>
      <c r="I110" t="s">
        <v>735</v>
      </c>
      <c r="J110" t="s">
        <v>736</v>
      </c>
      <c r="K110" s="2">
        <v>34433</v>
      </c>
      <c r="L110" s="2">
        <v>34433</v>
      </c>
      <c r="M110" s="2" t="s">
        <v>854</v>
      </c>
      <c r="N110">
        <f t="shared" si="3"/>
        <v>9</v>
      </c>
      <c r="O110" t="s">
        <v>737</v>
      </c>
      <c r="P110">
        <f t="shared" si="4"/>
        <v>4</v>
      </c>
      <c r="Q110" t="s">
        <v>737</v>
      </c>
      <c r="R110">
        <f t="shared" si="5"/>
        <v>1994</v>
      </c>
      <c r="S110" s="3">
        <v>34581</v>
      </c>
      <c r="T110" s="5" t="s">
        <v>900</v>
      </c>
    </row>
    <row r="111" spans="1:20" x14ac:dyDescent="0.25">
      <c r="A111" t="s">
        <v>120</v>
      </c>
      <c r="B111" t="s">
        <v>217</v>
      </c>
      <c r="C111" t="s">
        <v>327</v>
      </c>
      <c r="D111" t="s">
        <v>434</v>
      </c>
      <c r="E111" t="s">
        <v>629</v>
      </c>
      <c r="F111" t="s">
        <v>680</v>
      </c>
      <c r="G111" t="s">
        <v>718</v>
      </c>
      <c r="H111" t="s">
        <v>729</v>
      </c>
      <c r="I111" t="s">
        <v>735</v>
      </c>
      <c r="J111" t="s">
        <v>736</v>
      </c>
      <c r="K111" s="2">
        <v>29917</v>
      </c>
      <c r="L111" s="2">
        <v>29917</v>
      </c>
      <c r="M111" s="2" t="s">
        <v>854</v>
      </c>
      <c r="N111">
        <f t="shared" si="3"/>
        <v>27</v>
      </c>
      <c r="O111" t="s">
        <v>737</v>
      </c>
      <c r="P111">
        <f t="shared" si="4"/>
        <v>11</v>
      </c>
      <c r="Q111" t="s">
        <v>737</v>
      </c>
      <c r="R111">
        <f t="shared" si="5"/>
        <v>1981</v>
      </c>
      <c r="S111" t="s">
        <v>798</v>
      </c>
      <c r="T111" s="5" t="s">
        <v>798</v>
      </c>
    </row>
    <row r="112" spans="1:20" x14ac:dyDescent="0.25">
      <c r="A112" t="s">
        <v>121</v>
      </c>
      <c r="B112" t="s">
        <v>217</v>
      </c>
      <c r="C112" t="s">
        <v>328</v>
      </c>
      <c r="D112" t="s">
        <v>529</v>
      </c>
      <c r="E112" t="s">
        <v>640</v>
      </c>
      <c r="F112" t="s">
        <v>691</v>
      </c>
      <c r="G112" t="s">
        <v>718</v>
      </c>
      <c r="H112" t="s">
        <v>729</v>
      </c>
      <c r="I112" t="s">
        <v>735</v>
      </c>
      <c r="J112" t="s">
        <v>736</v>
      </c>
      <c r="K112" s="2">
        <v>33008</v>
      </c>
      <c r="L112" s="2">
        <v>33008</v>
      </c>
      <c r="M112" s="2" t="s">
        <v>854</v>
      </c>
      <c r="N112">
        <f t="shared" si="3"/>
        <v>15</v>
      </c>
      <c r="O112" t="s">
        <v>737</v>
      </c>
      <c r="P112">
        <f t="shared" si="4"/>
        <v>5</v>
      </c>
      <c r="Q112" t="s">
        <v>737</v>
      </c>
      <c r="R112">
        <f t="shared" si="5"/>
        <v>1990</v>
      </c>
      <c r="S112" t="s">
        <v>799</v>
      </c>
      <c r="T112" s="5" t="s">
        <v>799</v>
      </c>
    </row>
    <row r="113" spans="1:20" x14ac:dyDescent="0.25">
      <c r="A113" t="s">
        <v>122</v>
      </c>
      <c r="B113" t="s">
        <v>217</v>
      </c>
      <c r="C113" t="s">
        <v>329</v>
      </c>
      <c r="D113" t="s">
        <v>530</v>
      </c>
      <c r="E113" t="s">
        <v>641</v>
      </c>
      <c r="F113" t="s">
        <v>692</v>
      </c>
      <c r="G113" t="s">
        <v>718</v>
      </c>
      <c r="H113" t="s">
        <v>729</v>
      </c>
      <c r="I113" t="s">
        <v>735</v>
      </c>
      <c r="J113" t="s">
        <v>736</v>
      </c>
      <c r="K113" s="2">
        <v>30394</v>
      </c>
      <c r="L113" s="2">
        <v>30394</v>
      </c>
      <c r="M113" s="2" t="s">
        <v>854</v>
      </c>
      <c r="N113">
        <f t="shared" si="3"/>
        <v>19</v>
      </c>
      <c r="O113" t="s">
        <v>737</v>
      </c>
      <c r="P113">
        <f t="shared" si="4"/>
        <v>3</v>
      </c>
      <c r="Q113" t="s">
        <v>737</v>
      </c>
      <c r="R113">
        <f t="shared" si="5"/>
        <v>1983</v>
      </c>
      <c r="S113" t="s">
        <v>800</v>
      </c>
      <c r="T113" s="5" t="s">
        <v>800</v>
      </c>
    </row>
    <row r="114" spans="1:20" x14ac:dyDescent="0.25">
      <c r="A114" t="s">
        <v>123</v>
      </c>
      <c r="B114" t="s">
        <v>217</v>
      </c>
      <c r="C114" t="s">
        <v>330</v>
      </c>
      <c r="D114" t="s">
        <v>531</v>
      </c>
      <c r="E114" t="s">
        <v>635</v>
      </c>
      <c r="F114" t="s">
        <v>686</v>
      </c>
      <c r="G114" t="s">
        <v>717</v>
      </c>
      <c r="H114" t="s">
        <v>728</v>
      </c>
      <c r="I114" t="s">
        <v>735</v>
      </c>
      <c r="J114" t="s">
        <v>736</v>
      </c>
      <c r="K114" s="2">
        <v>31244</v>
      </c>
      <c r="L114" s="2">
        <v>31244</v>
      </c>
      <c r="M114" s="2" t="s">
        <v>854</v>
      </c>
      <c r="N114">
        <f t="shared" si="3"/>
        <v>16</v>
      </c>
      <c r="O114" t="s">
        <v>737</v>
      </c>
      <c r="P114">
        <f t="shared" si="4"/>
        <v>7</v>
      </c>
      <c r="Q114" t="s">
        <v>737</v>
      </c>
      <c r="R114">
        <f t="shared" si="5"/>
        <v>1985</v>
      </c>
      <c r="S114" t="s">
        <v>801</v>
      </c>
      <c r="T114" s="5" t="s">
        <v>801</v>
      </c>
    </row>
    <row r="115" spans="1:20" x14ac:dyDescent="0.25">
      <c r="A115" t="s">
        <v>124</v>
      </c>
      <c r="B115" t="s">
        <v>217</v>
      </c>
      <c r="C115" t="s">
        <v>331</v>
      </c>
      <c r="D115" t="s">
        <v>532</v>
      </c>
      <c r="E115" t="s">
        <v>637</v>
      </c>
      <c r="F115" t="s">
        <v>688</v>
      </c>
      <c r="G115" t="s">
        <v>719</v>
      </c>
      <c r="H115" t="s">
        <v>730</v>
      </c>
      <c r="I115" t="s">
        <v>735</v>
      </c>
      <c r="J115" t="s">
        <v>736</v>
      </c>
      <c r="K115" s="2">
        <v>30286</v>
      </c>
      <c r="L115" s="2">
        <v>30286</v>
      </c>
      <c r="M115" s="2" t="s">
        <v>854</v>
      </c>
      <c r="N115">
        <f t="shared" si="3"/>
        <v>1</v>
      </c>
      <c r="O115" t="s">
        <v>737</v>
      </c>
      <c r="P115">
        <f t="shared" si="4"/>
        <v>12</v>
      </c>
      <c r="Q115" t="s">
        <v>737</v>
      </c>
      <c r="R115">
        <f t="shared" si="5"/>
        <v>1982</v>
      </c>
      <c r="S115" s="3">
        <v>29963</v>
      </c>
      <c r="T115" s="5" t="s">
        <v>901</v>
      </c>
    </row>
    <row r="116" spans="1:20" x14ac:dyDescent="0.25">
      <c r="A116" t="s">
        <v>125</v>
      </c>
      <c r="B116" t="s">
        <v>217</v>
      </c>
      <c r="C116" t="s">
        <v>332</v>
      </c>
      <c r="D116" t="s">
        <v>533</v>
      </c>
      <c r="E116" t="s">
        <v>642</v>
      </c>
      <c r="F116" t="s">
        <v>693</v>
      </c>
      <c r="G116" t="s">
        <v>718</v>
      </c>
      <c r="H116" t="s">
        <v>729</v>
      </c>
      <c r="I116" t="s">
        <v>735</v>
      </c>
      <c r="J116" t="s">
        <v>736</v>
      </c>
      <c r="K116" s="2">
        <v>33183</v>
      </c>
      <c r="L116" s="2">
        <v>33183</v>
      </c>
      <c r="M116" s="2" t="s">
        <v>854</v>
      </c>
      <c r="N116">
        <f t="shared" si="3"/>
        <v>6</v>
      </c>
      <c r="O116" t="s">
        <v>737</v>
      </c>
      <c r="P116">
        <f t="shared" si="4"/>
        <v>11</v>
      </c>
      <c r="Q116" t="s">
        <v>737</v>
      </c>
      <c r="R116">
        <f t="shared" si="5"/>
        <v>1990</v>
      </c>
      <c r="S116" s="3">
        <v>33035</v>
      </c>
      <c r="T116" s="5" t="s">
        <v>902</v>
      </c>
    </row>
    <row r="117" spans="1:20" x14ac:dyDescent="0.25">
      <c r="A117" t="s">
        <v>126</v>
      </c>
      <c r="B117" t="s">
        <v>217</v>
      </c>
      <c r="C117" t="s">
        <v>333</v>
      </c>
      <c r="D117" t="s">
        <v>434</v>
      </c>
      <c r="E117" t="s">
        <v>643</v>
      </c>
      <c r="F117" t="s">
        <v>694</v>
      </c>
      <c r="G117" t="s">
        <v>718</v>
      </c>
      <c r="H117" t="s">
        <v>729</v>
      </c>
      <c r="I117" t="s">
        <v>735</v>
      </c>
      <c r="J117" t="s">
        <v>736</v>
      </c>
      <c r="K117" s="2">
        <v>32715</v>
      </c>
      <c r="L117" s="2">
        <v>32715</v>
      </c>
      <c r="M117" s="2" t="s">
        <v>854</v>
      </c>
      <c r="N117">
        <f t="shared" si="3"/>
        <v>26</v>
      </c>
      <c r="O117" t="s">
        <v>737</v>
      </c>
      <c r="P117">
        <f t="shared" si="4"/>
        <v>7</v>
      </c>
      <c r="Q117" t="s">
        <v>737</v>
      </c>
      <c r="R117">
        <f t="shared" si="5"/>
        <v>1989</v>
      </c>
      <c r="S117" t="s">
        <v>802</v>
      </c>
      <c r="T117" s="5" t="s">
        <v>802</v>
      </c>
    </row>
    <row r="118" spans="1:20" x14ac:dyDescent="0.25">
      <c r="A118" t="s">
        <v>127</v>
      </c>
      <c r="B118" t="s">
        <v>217</v>
      </c>
      <c r="C118" t="s">
        <v>334</v>
      </c>
      <c r="D118" t="s">
        <v>534</v>
      </c>
      <c r="E118" t="s">
        <v>644</v>
      </c>
      <c r="F118" t="s">
        <v>695</v>
      </c>
      <c r="G118" t="s">
        <v>722</v>
      </c>
      <c r="H118" t="s">
        <v>733</v>
      </c>
      <c r="I118" t="s">
        <v>735</v>
      </c>
      <c r="J118" t="s">
        <v>736</v>
      </c>
      <c r="K118" s="2">
        <v>31733</v>
      </c>
      <c r="L118" s="2">
        <v>31733</v>
      </c>
      <c r="M118" s="2" t="s">
        <v>854</v>
      </c>
      <c r="N118">
        <f t="shared" si="3"/>
        <v>17</v>
      </c>
      <c r="O118" t="s">
        <v>737</v>
      </c>
      <c r="P118">
        <f t="shared" si="4"/>
        <v>11</v>
      </c>
      <c r="Q118" t="s">
        <v>737</v>
      </c>
      <c r="R118">
        <f t="shared" si="5"/>
        <v>1986</v>
      </c>
      <c r="S118" t="s">
        <v>803</v>
      </c>
      <c r="T118" s="5" t="s">
        <v>803</v>
      </c>
    </row>
    <row r="119" spans="1:20" x14ac:dyDescent="0.25">
      <c r="A119" t="s">
        <v>128</v>
      </c>
      <c r="B119" t="s">
        <v>217</v>
      </c>
      <c r="C119" t="s">
        <v>335</v>
      </c>
      <c r="D119" t="s">
        <v>535</v>
      </c>
      <c r="E119" t="s">
        <v>611</v>
      </c>
      <c r="F119" t="s">
        <v>662</v>
      </c>
      <c r="G119" t="s">
        <v>714</v>
      </c>
      <c r="H119" t="s">
        <v>725</v>
      </c>
      <c r="I119" t="s">
        <v>735</v>
      </c>
      <c r="J119" t="s">
        <v>736</v>
      </c>
      <c r="K119" s="2">
        <v>33201</v>
      </c>
      <c r="L119" s="2">
        <v>33201</v>
      </c>
      <c r="M119" s="2" t="s">
        <v>854</v>
      </c>
      <c r="N119">
        <f t="shared" si="3"/>
        <v>24</v>
      </c>
      <c r="O119" t="s">
        <v>737</v>
      </c>
      <c r="P119">
        <f t="shared" si="4"/>
        <v>11</v>
      </c>
      <c r="Q119" t="s">
        <v>737</v>
      </c>
      <c r="R119">
        <f t="shared" si="5"/>
        <v>1990</v>
      </c>
      <c r="S119" t="s">
        <v>804</v>
      </c>
      <c r="T119" s="5" t="s">
        <v>804</v>
      </c>
    </row>
    <row r="120" spans="1:20" x14ac:dyDescent="0.25">
      <c r="A120" t="s">
        <v>129</v>
      </c>
      <c r="B120" t="s">
        <v>217</v>
      </c>
      <c r="C120" t="s">
        <v>336</v>
      </c>
      <c r="D120" t="s">
        <v>536</v>
      </c>
      <c r="E120" t="s">
        <v>645</v>
      </c>
      <c r="F120" t="s">
        <v>696</v>
      </c>
      <c r="G120" t="s">
        <v>719</v>
      </c>
      <c r="H120" t="s">
        <v>730</v>
      </c>
      <c r="I120" t="s">
        <v>735</v>
      </c>
      <c r="J120" t="s">
        <v>736</v>
      </c>
      <c r="K120" s="2">
        <v>32468</v>
      </c>
      <c r="L120" s="2">
        <v>32468</v>
      </c>
      <c r="M120" s="2" t="s">
        <v>854</v>
      </c>
      <c r="N120">
        <f t="shared" si="3"/>
        <v>21</v>
      </c>
      <c r="O120" t="s">
        <v>737</v>
      </c>
      <c r="P120">
        <f t="shared" si="4"/>
        <v>11</v>
      </c>
      <c r="Q120" t="s">
        <v>737</v>
      </c>
      <c r="R120">
        <f t="shared" si="5"/>
        <v>1988</v>
      </c>
      <c r="S120" t="s">
        <v>805</v>
      </c>
      <c r="T120" s="5" t="s">
        <v>805</v>
      </c>
    </row>
    <row r="121" spans="1:20" x14ac:dyDescent="0.25">
      <c r="A121" t="s">
        <v>130</v>
      </c>
      <c r="B121" t="s">
        <v>217</v>
      </c>
      <c r="C121" t="s">
        <v>337</v>
      </c>
      <c r="D121" t="s">
        <v>537</v>
      </c>
      <c r="E121" t="s">
        <v>612</v>
      </c>
      <c r="F121" t="s">
        <v>663</v>
      </c>
      <c r="G121" t="s">
        <v>715</v>
      </c>
      <c r="H121" t="s">
        <v>726</v>
      </c>
      <c r="I121" t="s">
        <v>735</v>
      </c>
      <c r="J121" t="s">
        <v>736</v>
      </c>
      <c r="K121" s="2">
        <v>30397</v>
      </c>
      <c r="L121" s="2">
        <v>30397</v>
      </c>
      <c r="M121" s="2" t="s">
        <v>854</v>
      </c>
      <c r="N121">
        <f t="shared" si="3"/>
        <v>22</v>
      </c>
      <c r="O121" t="s">
        <v>737</v>
      </c>
      <c r="P121">
        <f t="shared" si="4"/>
        <v>3</v>
      </c>
      <c r="Q121" t="s">
        <v>737</v>
      </c>
      <c r="R121">
        <f t="shared" si="5"/>
        <v>1983</v>
      </c>
      <c r="S121" t="s">
        <v>806</v>
      </c>
      <c r="T121" s="5" t="s">
        <v>806</v>
      </c>
    </row>
    <row r="122" spans="1:20" x14ac:dyDescent="0.25">
      <c r="A122" t="s">
        <v>131</v>
      </c>
      <c r="B122" t="s">
        <v>217</v>
      </c>
      <c r="C122" t="s">
        <v>338</v>
      </c>
      <c r="D122" t="s">
        <v>538</v>
      </c>
      <c r="E122" t="s">
        <v>613</v>
      </c>
      <c r="F122" t="s">
        <v>664</v>
      </c>
      <c r="G122" t="s">
        <v>713</v>
      </c>
      <c r="H122" t="s">
        <v>724</v>
      </c>
      <c r="I122" t="s">
        <v>735</v>
      </c>
      <c r="J122" t="s">
        <v>736</v>
      </c>
      <c r="K122" s="2">
        <v>25807</v>
      </c>
      <c r="L122" s="2">
        <v>25807</v>
      </c>
      <c r="M122" s="2" t="s">
        <v>854</v>
      </c>
      <c r="N122">
        <f t="shared" si="3"/>
        <v>27</v>
      </c>
      <c r="O122" t="s">
        <v>737</v>
      </c>
      <c r="P122">
        <f t="shared" si="4"/>
        <v>8</v>
      </c>
      <c r="Q122" t="s">
        <v>737</v>
      </c>
      <c r="R122">
        <f t="shared" si="5"/>
        <v>1970</v>
      </c>
      <c r="S122" t="s">
        <v>807</v>
      </c>
      <c r="T122" s="5" t="s">
        <v>807</v>
      </c>
    </row>
    <row r="123" spans="1:20" x14ac:dyDescent="0.25">
      <c r="A123" t="s">
        <v>132</v>
      </c>
      <c r="B123" t="s">
        <v>217</v>
      </c>
      <c r="C123" t="s">
        <v>339</v>
      </c>
      <c r="D123" t="s">
        <v>539</v>
      </c>
      <c r="G123" t="s">
        <v>718</v>
      </c>
      <c r="H123" t="s">
        <v>729</v>
      </c>
      <c r="I123" t="s">
        <v>735</v>
      </c>
      <c r="J123" t="s">
        <v>736</v>
      </c>
      <c r="K123" s="2">
        <v>32307</v>
      </c>
      <c r="L123" s="2">
        <v>32307</v>
      </c>
      <c r="M123" s="2" t="s">
        <v>854</v>
      </c>
      <c r="N123">
        <f t="shared" si="3"/>
        <v>13</v>
      </c>
      <c r="O123" t="s">
        <v>737</v>
      </c>
      <c r="P123">
        <f t="shared" si="4"/>
        <v>6</v>
      </c>
      <c r="Q123" t="s">
        <v>737</v>
      </c>
      <c r="R123">
        <f t="shared" si="5"/>
        <v>1988</v>
      </c>
      <c r="S123" t="s">
        <v>808</v>
      </c>
      <c r="T123" s="5" t="s">
        <v>808</v>
      </c>
    </row>
    <row r="124" spans="1:20" x14ac:dyDescent="0.25">
      <c r="A124" t="s">
        <v>133</v>
      </c>
      <c r="B124" t="s">
        <v>217</v>
      </c>
      <c r="C124" t="s">
        <v>340</v>
      </c>
      <c r="D124" t="s">
        <v>540</v>
      </c>
      <c r="E124" t="s">
        <v>630</v>
      </c>
      <c r="F124" t="s">
        <v>681</v>
      </c>
      <c r="G124" t="s">
        <v>722</v>
      </c>
      <c r="H124" t="s">
        <v>733</v>
      </c>
      <c r="I124" t="s">
        <v>735</v>
      </c>
      <c r="J124" t="s">
        <v>736</v>
      </c>
      <c r="K124" s="2">
        <v>34623</v>
      </c>
      <c r="L124" s="2">
        <v>34623</v>
      </c>
      <c r="M124" s="2" t="s">
        <v>854</v>
      </c>
      <c r="N124">
        <f t="shared" si="3"/>
        <v>16</v>
      </c>
      <c r="O124" t="s">
        <v>737</v>
      </c>
      <c r="P124">
        <f t="shared" si="4"/>
        <v>10</v>
      </c>
      <c r="Q124" t="s">
        <v>737</v>
      </c>
      <c r="R124">
        <f t="shared" si="5"/>
        <v>1994</v>
      </c>
      <c r="S124" t="s">
        <v>809</v>
      </c>
      <c r="T124" s="5" t="s">
        <v>809</v>
      </c>
    </row>
    <row r="125" spans="1:20" x14ac:dyDescent="0.25">
      <c r="A125" t="s">
        <v>134</v>
      </c>
      <c r="B125" t="s">
        <v>217</v>
      </c>
      <c r="C125" t="s">
        <v>341</v>
      </c>
      <c r="D125" t="s">
        <v>541</v>
      </c>
      <c r="E125" t="s">
        <v>646</v>
      </c>
      <c r="F125" t="s">
        <v>697</v>
      </c>
      <c r="G125" t="s">
        <v>714</v>
      </c>
      <c r="H125" t="s">
        <v>725</v>
      </c>
      <c r="I125" t="s">
        <v>735</v>
      </c>
      <c r="J125" t="s">
        <v>736</v>
      </c>
      <c r="K125" s="2">
        <v>32581</v>
      </c>
      <c r="L125" s="2">
        <v>32581</v>
      </c>
      <c r="M125" s="2" t="s">
        <v>854</v>
      </c>
      <c r="N125">
        <f t="shared" si="3"/>
        <v>14</v>
      </c>
      <c r="O125" t="s">
        <v>737</v>
      </c>
      <c r="P125">
        <f t="shared" si="4"/>
        <v>3</v>
      </c>
      <c r="Q125" t="s">
        <v>737</v>
      </c>
      <c r="R125">
        <f t="shared" si="5"/>
        <v>1989</v>
      </c>
      <c r="S125" t="s">
        <v>810</v>
      </c>
      <c r="T125" s="5" t="s">
        <v>810</v>
      </c>
    </row>
    <row r="126" spans="1:20" x14ac:dyDescent="0.25">
      <c r="A126" t="s">
        <v>135</v>
      </c>
      <c r="B126" t="s">
        <v>217</v>
      </c>
      <c r="C126" t="s">
        <v>342</v>
      </c>
      <c r="D126" t="s">
        <v>542</v>
      </c>
      <c r="E126" t="s">
        <v>647</v>
      </c>
      <c r="F126" t="s">
        <v>698</v>
      </c>
      <c r="G126" t="s">
        <v>714</v>
      </c>
      <c r="H126" t="s">
        <v>725</v>
      </c>
      <c r="I126" t="s">
        <v>735</v>
      </c>
      <c r="J126" t="s">
        <v>736</v>
      </c>
      <c r="K126" s="2">
        <v>32288</v>
      </c>
      <c r="L126" s="2">
        <v>32288</v>
      </c>
      <c r="M126" s="2" t="s">
        <v>854</v>
      </c>
      <c r="N126">
        <f t="shared" si="3"/>
        <v>25</v>
      </c>
      <c r="O126" t="s">
        <v>737</v>
      </c>
      <c r="P126">
        <f t="shared" si="4"/>
        <v>5</v>
      </c>
      <c r="Q126" t="s">
        <v>737</v>
      </c>
      <c r="R126">
        <f t="shared" si="5"/>
        <v>1988</v>
      </c>
      <c r="S126" t="s">
        <v>811</v>
      </c>
      <c r="T126" s="5" t="s">
        <v>811</v>
      </c>
    </row>
    <row r="127" spans="1:20" x14ac:dyDescent="0.25">
      <c r="A127" t="s">
        <v>136</v>
      </c>
      <c r="B127" t="s">
        <v>217</v>
      </c>
      <c r="C127" t="s">
        <v>343</v>
      </c>
      <c r="D127" t="s">
        <v>543</v>
      </c>
      <c r="E127" t="s">
        <v>623</v>
      </c>
      <c r="F127" t="s">
        <v>674</v>
      </c>
      <c r="G127" t="s">
        <v>720</v>
      </c>
      <c r="H127" t="s">
        <v>731</v>
      </c>
      <c r="I127" t="s">
        <v>735</v>
      </c>
      <c r="J127" t="s">
        <v>736</v>
      </c>
      <c r="K127" s="2">
        <v>34834</v>
      </c>
      <c r="L127" s="2">
        <v>34834</v>
      </c>
      <c r="M127" s="2" t="s">
        <v>854</v>
      </c>
      <c r="N127">
        <f t="shared" si="3"/>
        <v>15</v>
      </c>
      <c r="O127" t="s">
        <v>737</v>
      </c>
      <c r="P127">
        <f t="shared" si="4"/>
        <v>5</v>
      </c>
      <c r="Q127" t="s">
        <v>737</v>
      </c>
      <c r="R127">
        <f t="shared" si="5"/>
        <v>1995</v>
      </c>
      <c r="S127" t="s">
        <v>812</v>
      </c>
      <c r="T127" s="5" t="s">
        <v>812</v>
      </c>
    </row>
    <row r="128" spans="1:20" x14ac:dyDescent="0.25">
      <c r="A128" t="s">
        <v>137</v>
      </c>
      <c r="B128" t="s">
        <v>217</v>
      </c>
      <c r="C128" t="s">
        <v>344</v>
      </c>
      <c r="D128" t="s">
        <v>544</v>
      </c>
      <c r="E128" t="s">
        <v>619</v>
      </c>
      <c r="F128" t="s">
        <v>670</v>
      </c>
      <c r="G128" t="s">
        <v>717</v>
      </c>
      <c r="H128" t="s">
        <v>728</v>
      </c>
      <c r="I128" t="s">
        <v>735</v>
      </c>
      <c r="J128" t="s">
        <v>736</v>
      </c>
      <c r="K128" s="2">
        <v>20763</v>
      </c>
      <c r="L128" s="2">
        <v>20763</v>
      </c>
      <c r="M128" s="2" t="s">
        <v>854</v>
      </c>
      <c r="N128">
        <f t="shared" si="3"/>
        <v>4</v>
      </c>
      <c r="O128" t="s">
        <v>737</v>
      </c>
      <c r="P128">
        <f t="shared" si="4"/>
        <v>11</v>
      </c>
      <c r="Q128" t="s">
        <v>737</v>
      </c>
      <c r="R128">
        <f t="shared" si="5"/>
        <v>1956</v>
      </c>
      <c r="S128" s="3">
        <v>20556</v>
      </c>
      <c r="T128" s="5" t="s">
        <v>903</v>
      </c>
    </row>
    <row r="129" spans="1:20" x14ac:dyDescent="0.25">
      <c r="A129" t="s">
        <v>138</v>
      </c>
      <c r="B129" t="s">
        <v>217</v>
      </c>
      <c r="C129" t="s">
        <v>345</v>
      </c>
      <c r="D129" t="s">
        <v>545</v>
      </c>
      <c r="E129" t="s">
        <v>648</v>
      </c>
      <c r="F129" t="s">
        <v>699</v>
      </c>
      <c r="G129" t="s">
        <v>719</v>
      </c>
      <c r="H129" t="s">
        <v>730</v>
      </c>
      <c r="I129" t="s">
        <v>735</v>
      </c>
      <c r="J129" t="s">
        <v>736</v>
      </c>
      <c r="K129" s="2">
        <v>32190</v>
      </c>
      <c r="L129" s="2">
        <v>32190</v>
      </c>
      <c r="M129" s="2" t="s">
        <v>854</v>
      </c>
      <c r="N129">
        <f t="shared" si="3"/>
        <v>17</v>
      </c>
      <c r="O129" t="s">
        <v>737</v>
      </c>
      <c r="P129">
        <f t="shared" si="4"/>
        <v>2</v>
      </c>
      <c r="Q129" t="s">
        <v>737</v>
      </c>
      <c r="R129">
        <f t="shared" si="5"/>
        <v>1988</v>
      </c>
      <c r="S129" t="s">
        <v>813</v>
      </c>
      <c r="T129" s="5" t="s">
        <v>813</v>
      </c>
    </row>
    <row r="130" spans="1:20" x14ac:dyDescent="0.25">
      <c r="A130" t="s">
        <v>139</v>
      </c>
      <c r="B130" t="s">
        <v>217</v>
      </c>
      <c r="C130" t="s">
        <v>346</v>
      </c>
      <c r="D130" t="s">
        <v>546</v>
      </c>
      <c r="E130" t="s">
        <v>636</v>
      </c>
      <c r="F130" t="s">
        <v>687</v>
      </c>
      <c r="G130" t="s">
        <v>721</v>
      </c>
      <c r="H130" t="s">
        <v>732</v>
      </c>
      <c r="I130" t="s">
        <v>735</v>
      </c>
      <c r="J130" t="s">
        <v>736</v>
      </c>
      <c r="K130" s="2">
        <v>30958</v>
      </c>
      <c r="L130" s="2">
        <v>30958</v>
      </c>
      <c r="M130" s="2" t="s">
        <v>854</v>
      </c>
      <c r="N130">
        <f t="shared" si="3"/>
        <v>3</v>
      </c>
      <c r="O130" t="s">
        <v>737</v>
      </c>
      <c r="P130">
        <f t="shared" si="4"/>
        <v>10</v>
      </c>
      <c r="Q130" t="s">
        <v>737</v>
      </c>
      <c r="R130">
        <f t="shared" si="5"/>
        <v>1984</v>
      </c>
      <c r="S130" s="3">
        <v>30751</v>
      </c>
      <c r="T130" s="5" t="s">
        <v>904</v>
      </c>
    </row>
    <row r="131" spans="1:20" x14ac:dyDescent="0.25">
      <c r="A131" t="s">
        <v>140</v>
      </c>
      <c r="B131" t="s">
        <v>217</v>
      </c>
      <c r="C131" t="s">
        <v>347</v>
      </c>
      <c r="D131" t="s">
        <v>547</v>
      </c>
      <c r="E131" t="s">
        <v>649</v>
      </c>
      <c r="F131" t="s">
        <v>700</v>
      </c>
      <c r="G131" t="s">
        <v>714</v>
      </c>
      <c r="H131" t="s">
        <v>725</v>
      </c>
      <c r="I131" t="s">
        <v>735</v>
      </c>
      <c r="J131" t="s">
        <v>736</v>
      </c>
      <c r="K131" s="2">
        <v>33310</v>
      </c>
      <c r="L131" s="2">
        <v>33310</v>
      </c>
      <c r="M131" s="2" t="s">
        <v>854</v>
      </c>
      <c r="N131">
        <f t="shared" ref="N131:N194" si="6">DAY(L131)</f>
        <v>13</v>
      </c>
      <c r="O131" t="s">
        <v>737</v>
      </c>
      <c r="P131">
        <f t="shared" ref="P131:P194" si="7">MONTH(L131)</f>
        <v>3</v>
      </c>
      <c r="Q131" t="s">
        <v>737</v>
      </c>
      <c r="R131">
        <f t="shared" ref="R131:R194" si="8">YEAR(L131)</f>
        <v>1991</v>
      </c>
      <c r="S131" t="s">
        <v>814</v>
      </c>
      <c r="T131" s="5" t="s">
        <v>814</v>
      </c>
    </row>
    <row r="132" spans="1:20" x14ac:dyDescent="0.25">
      <c r="A132" t="s">
        <v>141</v>
      </c>
      <c r="B132" t="s">
        <v>217</v>
      </c>
      <c r="C132" t="s">
        <v>348</v>
      </c>
      <c r="D132" t="s">
        <v>548</v>
      </c>
      <c r="E132" t="s">
        <v>619</v>
      </c>
      <c r="F132" t="s">
        <v>670</v>
      </c>
      <c r="G132" t="s">
        <v>717</v>
      </c>
      <c r="H132" t="s">
        <v>728</v>
      </c>
      <c r="I132" t="s">
        <v>735</v>
      </c>
      <c r="J132" t="s">
        <v>736</v>
      </c>
      <c r="K132" s="2">
        <v>21916</v>
      </c>
      <c r="L132" s="2">
        <v>21916</v>
      </c>
      <c r="M132" s="2" t="s">
        <v>854</v>
      </c>
      <c r="N132">
        <f t="shared" si="6"/>
        <v>1</v>
      </c>
      <c r="O132" t="s">
        <v>737</v>
      </c>
      <c r="P132">
        <f t="shared" si="7"/>
        <v>1</v>
      </c>
      <c r="Q132" t="s">
        <v>737</v>
      </c>
      <c r="R132">
        <f t="shared" si="8"/>
        <v>1960</v>
      </c>
      <c r="S132" s="3">
        <v>21916</v>
      </c>
      <c r="T132" s="5" t="s">
        <v>905</v>
      </c>
    </row>
    <row r="133" spans="1:20" x14ac:dyDescent="0.25">
      <c r="A133" t="s">
        <v>142</v>
      </c>
      <c r="B133" t="s">
        <v>217</v>
      </c>
      <c r="C133" t="s">
        <v>349</v>
      </c>
      <c r="D133" t="s">
        <v>549</v>
      </c>
      <c r="E133" t="s">
        <v>650</v>
      </c>
      <c r="F133" t="s">
        <v>701</v>
      </c>
      <c r="G133" t="s">
        <v>714</v>
      </c>
      <c r="H133" t="s">
        <v>725</v>
      </c>
      <c r="I133" t="s">
        <v>735</v>
      </c>
      <c r="J133" t="s">
        <v>736</v>
      </c>
      <c r="K133" s="2">
        <v>32119</v>
      </c>
      <c r="L133" s="2">
        <v>32119</v>
      </c>
      <c r="M133" s="2" t="s">
        <v>854</v>
      </c>
      <c r="N133">
        <f t="shared" si="6"/>
        <v>8</v>
      </c>
      <c r="O133" t="s">
        <v>737</v>
      </c>
      <c r="P133">
        <f t="shared" si="7"/>
        <v>12</v>
      </c>
      <c r="Q133" t="s">
        <v>737</v>
      </c>
      <c r="R133">
        <f t="shared" si="8"/>
        <v>1987</v>
      </c>
      <c r="S133" s="3">
        <v>32001</v>
      </c>
      <c r="T133" s="5" t="s">
        <v>906</v>
      </c>
    </row>
    <row r="134" spans="1:20" x14ac:dyDescent="0.25">
      <c r="A134" t="s">
        <v>143</v>
      </c>
      <c r="B134" t="s">
        <v>217</v>
      </c>
      <c r="C134" t="s">
        <v>350</v>
      </c>
      <c r="D134" t="s">
        <v>550</v>
      </c>
      <c r="E134" t="s">
        <v>651</v>
      </c>
      <c r="F134" t="s">
        <v>702</v>
      </c>
      <c r="G134" t="s">
        <v>720</v>
      </c>
      <c r="H134" t="s">
        <v>731</v>
      </c>
      <c r="I134" t="s">
        <v>735</v>
      </c>
      <c r="J134" t="s">
        <v>736</v>
      </c>
      <c r="K134" s="2">
        <v>32014</v>
      </c>
      <c r="L134" s="2">
        <v>32014</v>
      </c>
      <c r="M134" s="2" t="s">
        <v>854</v>
      </c>
      <c r="N134">
        <f t="shared" si="6"/>
        <v>25</v>
      </c>
      <c r="O134" t="s">
        <v>737</v>
      </c>
      <c r="P134">
        <f t="shared" si="7"/>
        <v>8</v>
      </c>
      <c r="Q134" t="s">
        <v>737</v>
      </c>
      <c r="R134">
        <f t="shared" si="8"/>
        <v>1987</v>
      </c>
      <c r="S134" t="s">
        <v>815</v>
      </c>
      <c r="T134" s="5" t="s">
        <v>815</v>
      </c>
    </row>
    <row r="135" spans="1:20" x14ac:dyDescent="0.25">
      <c r="A135" t="s">
        <v>144</v>
      </c>
      <c r="B135" t="s">
        <v>217</v>
      </c>
      <c r="C135" t="s">
        <v>351</v>
      </c>
      <c r="D135" t="s">
        <v>551</v>
      </c>
      <c r="E135" t="s">
        <v>627</v>
      </c>
      <c r="F135" t="s">
        <v>678</v>
      </c>
      <c r="G135" t="s">
        <v>721</v>
      </c>
      <c r="H135" t="s">
        <v>732</v>
      </c>
      <c r="I135" t="s">
        <v>735</v>
      </c>
      <c r="J135" t="s">
        <v>736</v>
      </c>
      <c r="K135" s="2">
        <v>22086</v>
      </c>
      <c r="L135" s="2">
        <v>22086</v>
      </c>
      <c r="M135" s="2" t="s">
        <v>854</v>
      </c>
      <c r="N135">
        <f t="shared" si="6"/>
        <v>19</v>
      </c>
      <c r="O135" t="s">
        <v>737</v>
      </c>
      <c r="P135">
        <f t="shared" si="7"/>
        <v>6</v>
      </c>
      <c r="Q135" t="s">
        <v>737</v>
      </c>
      <c r="R135">
        <f t="shared" si="8"/>
        <v>1960</v>
      </c>
      <c r="S135" t="s">
        <v>816</v>
      </c>
      <c r="T135" s="5" t="s">
        <v>816</v>
      </c>
    </row>
    <row r="136" spans="1:20" x14ac:dyDescent="0.25">
      <c r="A136" t="s">
        <v>144</v>
      </c>
      <c r="B136" t="s">
        <v>217</v>
      </c>
      <c r="C136" t="s">
        <v>352</v>
      </c>
      <c r="D136" t="s">
        <v>552</v>
      </c>
      <c r="E136" t="s">
        <v>627</v>
      </c>
      <c r="F136" t="s">
        <v>678</v>
      </c>
      <c r="G136" t="s">
        <v>721</v>
      </c>
      <c r="H136" t="s">
        <v>732</v>
      </c>
      <c r="I136" t="s">
        <v>735</v>
      </c>
      <c r="J136" t="s">
        <v>736</v>
      </c>
      <c r="M136" s="2" t="s">
        <v>854</v>
      </c>
      <c r="N136">
        <f t="shared" si="6"/>
        <v>0</v>
      </c>
      <c r="O136" t="s">
        <v>737</v>
      </c>
      <c r="P136">
        <f t="shared" si="7"/>
        <v>1</v>
      </c>
      <c r="Q136" t="s">
        <v>737</v>
      </c>
      <c r="R136">
        <f t="shared" si="8"/>
        <v>1900</v>
      </c>
      <c r="S136" t="s">
        <v>767</v>
      </c>
      <c r="T136" s="5" t="s">
        <v>767</v>
      </c>
    </row>
    <row r="137" spans="1:20" x14ac:dyDescent="0.25">
      <c r="A137" t="s">
        <v>145</v>
      </c>
      <c r="B137" t="s">
        <v>217</v>
      </c>
      <c r="C137" t="s">
        <v>353</v>
      </c>
      <c r="D137" t="s">
        <v>434</v>
      </c>
      <c r="E137" t="s">
        <v>652</v>
      </c>
      <c r="F137" t="s">
        <v>703</v>
      </c>
      <c r="G137" t="s">
        <v>721</v>
      </c>
      <c r="H137" t="s">
        <v>732</v>
      </c>
      <c r="I137" t="s">
        <v>735</v>
      </c>
      <c r="J137" t="s">
        <v>736</v>
      </c>
      <c r="K137" s="2">
        <v>31134</v>
      </c>
      <c r="L137" s="2">
        <v>31134</v>
      </c>
      <c r="M137" s="2" t="s">
        <v>854</v>
      </c>
      <c r="N137">
        <f t="shared" si="6"/>
        <v>28</v>
      </c>
      <c r="O137" t="s">
        <v>737</v>
      </c>
      <c r="P137">
        <f t="shared" si="7"/>
        <v>3</v>
      </c>
      <c r="Q137" t="s">
        <v>737</v>
      </c>
      <c r="R137">
        <f t="shared" si="8"/>
        <v>1985</v>
      </c>
      <c r="S137" t="s">
        <v>817</v>
      </c>
      <c r="T137" s="5" t="s">
        <v>817</v>
      </c>
    </row>
    <row r="138" spans="1:20" x14ac:dyDescent="0.25">
      <c r="A138" t="s">
        <v>146</v>
      </c>
      <c r="B138" t="s">
        <v>217</v>
      </c>
      <c r="C138" t="s">
        <v>354</v>
      </c>
      <c r="D138" t="s">
        <v>553</v>
      </c>
      <c r="E138" t="s">
        <v>652</v>
      </c>
      <c r="F138" t="s">
        <v>703</v>
      </c>
      <c r="G138" t="s">
        <v>721</v>
      </c>
      <c r="H138" t="s">
        <v>732</v>
      </c>
      <c r="I138" t="s">
        <v>735</v>
      </c>
      <c r="J138" t="s">
        <v>736</v>
      </c>
      <c r="M138" s="2" t="s">
        <v>854</v>
      </c>
      <c r="N138">
        <f t="shared" si="6"/>
        <v>0</v>
      </c>
      <c r="O138" t="s">
        <v>737</v>
      </c>
      <c r="P138">
        <f t="shared" si="7"/>
        <v>1</v>
      </c>
      <c r="Q138" t="s">
        <v>737</v>
      </c>
      <c r="R138">
        <f t="shared" si="8"/>
        <v>1900</v>
      </c>
      <c r="S138" t="s">
        <v>767</v>
      </c>
      <c r="T138" s="5" t="s">
        <v>767</v>
      </c>
    </row>
    <row r="139" spans="1:20" x14ac:dyDescent="0.25">
      <c r="A139" t="s">
        <v>147</v>
      </c>
      <c r="B139" t="s">
        <v>217</v>
      </c>
      <c r="C139" t="s">
        <v>355</v>
      </c>
      <c r="D139" t="s">
        <v>554</v>
      </c>
      <c r="E139" t="s">
        <v>629</v>
      </c>
      <c r="F139" t="s">
        <v>704</v>
      </c>
      <c r="G139" t="s">
        <v>720</v>
      </c>
      <c r="H139" t="s">
        <v>731</v>
      </c>
      <c r="I139" t="s">
        <v>735</v>
      </c>
      <c r="J139" t="s">
        <v>736</v>
      </c>
      <c r="K139" s="2">
        <v>33352</v>
      </c>
      <c r="L139" s="2">
        <v>33352</v>
      </c>
      <c r="M139" s="2" t="s">
        <v>854</v>
      </c>
      <c r="N139">
        <f t="shared" si="6"/>
        <v>24</v>
      </c>
      <c r="O139" t="s">
        <v>737</v>
      </c>
      <c r="P139">
        <f t="shared" si="7"/>
        <v>4</v>
      </c>
      <c r="Q139" t="s">
        <v>737</v>
      </c>
      <c r="R139">
        <f t="shared" si="8"/>
        <v>1991</v>
      </c>
      <c r="S139" t="s">
        <v>818</v>
      </c>
      <c r="T139" s="5" t="s">
        <v>818</v>
      </c>
    </row>
    <row r="140" spans="1:20" x14ac:dyDescent="0.25">
      <c r="A140" t="s">
        <v>148</v>
      </c>
      <c r="B140" t="s">
        <v>217</v>
      </c>
      <c r="C140" t="s">
        <v>356</v>
      </c>
      <c r="D140" t="s">
        <v>534</v>
      </c>
      <c r="E140" t="s">
        <v>644</v>
      </c>
      <c r="F140" t="s">
        <v>695</v>
      </c>
      <c r="G140" t="s">
        <v>722</v>
      </c>
      <c r="H140" t="s">
        <v>733</v>
      </c>
      <c r="I140" t="s">
        <v>735</v>
      </c>
      <c r="J140" t="s">
        <v>736</v>
      </c>
      <c r="K140" s="2">
        <v>27335</v>
      </c>
      <c r="L140" s="2">
        <v>27335</v>
      </c>
      <c r="M140" s="2" t="s">
        <v>854</v>
      </c>
      <c r="N140">
        <f t="shared" si="6"/>
        <v>2</v>
      </c>
      <c r="O140" t="s">
        <v>737</v>
      </c>
      <c r="P140">
        <f t="shared" si="7"/>
        <v>11</v>
      </c>
      <c r="Q140" t="s">
        <v>737</v>
      </c>
      <c r="R140">
        <f t="shared" si="8"/>
        <v>1974</v>
      </c>
      <c r="S140" s="3">
        <v>27071</v>
      </c>
      <c r="T140" s="5" t="s">
        <v>907</v>
      </c>
    </row>
    <row r="141" spans="1:20" x14ac:dyDescent="0.25">
      <c r="A141" t="s">
        <v>149</v>
      </c>
      <c r="B141" t="s">
        <v>217</v>
      </c>
      <c r="C141" t="s">
        <v>357</v>
      </c>
      <c r="D141" t="s">
        <v>555</v>
      </c>
      <c r="E141" t="s">
        <v>653</v>
      </c>
      <c r="F141" t="s">
        <v>705</v>
      </c>
      <c r="G141" t="s">
        <v>714</v>
      </c>
      <c r="H141" t="s">
        <v>725</v>
      </c>
      <c r="I141" t="s">
        <v>735</v>
      </c>
      <c r="J141" t="s">
        <v>736</v>
      </c>
      <c r="K141" s="2">
        <v>33180</v>
      </c>
      <c r="L141" s="2">
        <v>33180</v>
      </c>
      <c r="M141" s="2" t="s">
        <v>854</v>
      </c>
      <c r="N141">
        <f t="shared" si="6"/>
        <v>3</v>
      </c>
      <c r="O141" t="s">
        <v>737</v>
      </c>
      <c r="P141">
        <f t="shared" si="7"/>
        <v>11</v>
      </c>
      <c r="Q141" t="s">
        <v>737</v>
      </c>
      <c r="R141">
        <f t="shared" si="8"/>
        <v>1990</v>
      </c>
      <c r="S141" s="3">
        <v>32943</v>
      </c>
      <c r="T141" s="5" t="s">
        <v>908</v>
      </c>
    </row>
    <row r="142" spans="1:20" x14ac:dyDescent="0.25">
      <c r="A142" t="s">
        <v>150</v>
      </c>
      <c r="B142" t="s">
        <v>217</v>
      </c>
      <c r="C142" t="s">
        <v>358</v>
      </c>
      <c r="D142" t="s">
        <v>556</v>
      </c>
      <c r="E142" t="s">
        <v>622</v>
      </c>
      <c r="F142" t="s">
        <v>673</v>
      </c>
      <c r="G142" t="s">
        <v>719</v>
      </c>
      <c r="H142" t="s">
        <v>730</v>
      </c>
      <c r="I142" t="s">
        <v>735</v>
      </c>
      <c r="J142" t="s">
        <v>736</v>
      </c>
      <c r="K142" s="2">
        <v>31085</v>
      </c>
      <c r="L142" s="2">
        <v>31085</v>
      </c>
      <c r="M142" s="2" t="s">
        <v>854</v>
      </c>
      <c r="N142">
        <f t="shared" si="6"/>
        <v>7</v>
      </c>
      <c r="O142" t="s">
        <v>737</v>
      </c>
      <c r="P142">
        <f t="shared" si="7"/>
        <v>2</v>
      </c>
      <c r="Q142" t="s">
        <v>737</v>
      </c>
      <c r="R142">
        <f t="shared" si="8"/>
        <v>1985</v>
      </c>
      <c r="S142" s="3">
        <v>31230</v>
      </c>
      <c r="T142" s="5" t="s">
        <v>909</v>
      </c>
    </row>
    <row r="143" spans="1:20" x14ac:dyDescent="0.25">
      <c r="A143" t="s">
        <v>151</v>
      </c>
      <c r="B143" t="s">
        <v>217</v>
      </c>
      <c r="C143" t="s">
        <v>359</v>
      </c>
      <c r="D143" t="s">
        <v>557</v>
      </c>
      <c r="E143" t="s">
        <v>615</v>
      </c>
      <c r="F143" t="s">
        <v>666</v>
      </c>
      <c r="G143" t="s">
        <v>716</v>
      </c>
      <c r="H143" t="s">
        <v>727</v>
      </c>
      <c r="I143" t="s">
        <v>735</v>
      </c>
      <c r="J143" t="s">
        <v>736</v>
      </c>
      <c r="K143" s="2">
        <v>29282</v>
      </c>
      <c r="L143" s="2">
        <v>29282</v>
      </c>
      <c r="M143" s="2" t="s">
        <v>854</v>
      </c>
      <c r="N143">
        <f t="shared" si="6"/>
        <v>2</v>
      </c>
      <c r="O143" t="s">
        <v>737</v>
      </c>
      <c r="P143">
        <f t="shared" si="7"/>
        <v>3</v>
      </c>
      <c r="Q143" t="s">
        <v>737</v>
      </c>
      <c r="R143">
        <f t="shared" si="8"/>
        <v>1980</v>
      </c>
      <c r="S143" s="3">
        <v>29254</v>
      </c>
      <c r="T143" s="5" t="s">
        <v>910</v>
      </c>
    </row>
    <row r="144" spans="1:20" x14ac:dyDescent="0.25">
      <c r="A144" t="s">
        <v>152</v>
      </c>
      <c r="B144" t="s">
        <v>217</v>
      </c>
      <c r="C144" t="s">
        <v>360</v>
      </c>
      <c r="D144" t="s">
        <v>558</v>
      </c>
      <c r="E144" t="s">
        <v>611</v>
      </c>
      <c r="F144" t="s">
        <v>662</v>
      </c>
      <c r="G144" t="s">
        <v>714</v>
      </c>
      <c r="H144" t="s">
        <v>725</v>
      </c>
      <c r="I144" t="s">
        <v>735</v>
      </c>
      <c r="J144" t="s">
        <v>736</v>
      </c>
      <c r="K144" s="2">
        <v>23966</v>
      </c>
      <c r="L144" s="2">
        <v>23966</v>
      </c>
      <c r="M144" s="2" t="s">
        <v>854</v>
      </c>
      <c r="N144">
        <f t="shared" si="6"/>
        <v>12</v>
      </c>
      <c r="O144" t="s">
        <v>737</v>
      </c>
      <c r="P144">
        <f t="shared" si="7"/>
        <v>8</v>
      </c>
      <c r="Q144" t="s">
        <v>737</v>
      </c>
      <c r="R144">
        <f t="shared" si="8"/>
        <v>1965</v>
      </c>
      <c r="S144" s="3">
        <v>24084</v>
      </c>
      <c r="T144" s="5" t="s">
        <v>911</v>
      </c>
    </row>
    <row r="145" spans="1:20" x14ac:dyDescent="0.25">
      <c r="A145" t="s">
        <v>153</v>
      </c>
      <c r="B145" t="s">
        <v>217</v>
      </c>
      <c r="C145" t="s">
        <v>361</v>
      </c>
      <c r="D145" t="s">
        <v>559</v>
      </c>
      <c r="E145" t="s">
        <v>654</v>
      </c>
      <c r="F145" t="s">
        <v>706</v>
      </c>
      <c r="G145" t="s">
        <v>720</v>
      </c>
      <c r="H145" t="s">
        <v>731</v>
      </c>
      <c r="I145" t="s">
        <v>735</v>
      </c>
      <c r="J145" t="s">
        <v>736</v>
      </c>
      <c r="K145" s="2">
        <v>33245</v>
      </c>
      <c r="L145" s="2">
        <v>33245</v>
      </c>
      <c r="M145" s="2" t="s">
        <v>854</v>
      </c>
      <c r="N145">
        <f t="shared" si="6"/>
        <v>7</v>
      </c>
      <c r="O145" t="s">
        <v>737</v>
      </c>
      <c r="P145">
        <f t="shared" si="7"/>
        <v>1</v>
      </c>
      <c r="Q145" t="s">
        <v>737</v>
      </c>
      <c r="R145">
        <f t="shared" si="8"/>
        <v>1991</v>
      </c>
      <c r="S145" s="3">
        <v>33420</v>
      </c>
      <c r="T145" s="5" t="s">
        <v>912</v>
      </c>
    </row>
    <row r="146" spans="1:20" x14ac:dyDescent="0.25">
      <c r="A146" t="s">
        <v>154</v>
      </c>
      <c r="B146" t="s">
        <v>217</v>
      </c>
      <c r="C146" t="s">
        <v>362</v>
      </c>
      <c r="D146" t="s">
        <v>560</v>
      </c>
      <c r="E146" t="s">
        <v>655</v>
      </c>
      <c r="F146" t="s">
        <v>707</v>
      </c>
      <c r="G146" t="s">
        <v>715</v>
      </c>
      <c r="H146" t="s">
        <v>726</v>
      </c>
      <c r="I146" t="s">
        <v>735</v>
      </c>
      <c r="J146" t="s">
        <v>736</v>
      </c>
      <c r="K146" s="2">
        <v>29825</v>
      </c>
      <c r="L146" s="2">
        <v>29825</v>
      </c>
      <c r="M146" s="2" t="s">
        <v>854</v>
      </c>
      <c r="N146">
        <f t="shared" si="6"/>
        <v>27</v>
      </c>
      <c r="O146" t="s">
        <v>737</v>
      </c>
      <c r="P146">
        <f t="shared" si="7"/>
        <v>8</v>
      </c>
      <c r="Q146" t="s">
        <v>737</v>
      </c>
      <c r="R146">
        <f t="shared" si="8"/>
        <v>1981</v>
      </c>
      <c r="S146" t="s">
        <v>819</v>
      </c>
      <c r="T146" s="5" t="s">
        <v>819</v>
      </c>
    </row>
    <row r="147" spans="1:20" x14ac:dyDescent="0.25">
      <c r="A147" t="s">
        <v>155</v>
      </c>
      <c r="B147" t="s">
        <v>217</v>
      </c>
      <c r="C147" t="s">
        <v>363</v>
      </c>
      <c r="D147" t="s">
        <v>561</v>
      </c>
      <c r="E147" t="s">
        <v>629</v>
      </c>
      <c r="F147" t="s">
        <v>680</v>
      </c>
      <c r="G147" t="s">
        <v>718</v>
      </c>
      <c r="H147" t="s">
        <v>729</v>
      </c>
      <c r="I147" t="s">
        <v>735</v>
      </c>
      <c r="J147" t="s">
        <v>736</v>
      </c>
      <c r="K147" s="2">
        <v>35053</v>
      </c>
      <c r="L147" s="2">
        <v>35053</v>
      </c>
      <c r="M147" s="2" t="s">
        <v>854</v>
      </c>
      <c r="N147">
        <f t="shared" si="6"/>
        <v>20</v>
      </c>
      <c r="O147" t="s">
        <v>737</v>
      </c>
      <c r="P147">
        <f t="shared" si="7"/>
        <v>12</v>
      </c>
      <c r="Q147" t="s">
        <v>737</v>
      </c>
      <c r="R147">
        <f t="shared" si="8"/>
        <v>1995</v>
      </c>
      <c r="S147" t="s">
        <v>820</v>
      </c>
      <c r="T147" s="5" t="s">
        <v>820</v>
      </c>
    </row>
    <row r="148" spans="1:20" x14ac:dyDescent="0.25">
      <c r="A148" t="s">
        <v>156</v>
      </c>
      <c r="B148" t="s">
        <v>217</v>
      </c>
      <c r="C148" t="s">
        <v>364</v>
      </c>
      <c r="D148" t="s">
        <v>562</v>
      </c>
      <c r="E148" t="s">
        <v>615</v>
      </c>
      <c r="F148" t="s">
        <v>666</v>
      </c>
      <c r="G148" t="s">
        <v>716</v>
      </c>
      <c r="H148" t="s">
        <v>727</v>
      </c>
      <c r="I148" t="s">
        <v>735</v>
      </c>
      <c r="J148" t="s">
        <v>736</v>
      </c>
      <c r="K148" s="2">
        <v>31893</v>
      </c>
      <c r="L148" s="2">
        <v>31893</v>
      </c>
      <c r="M148" s="2" t="s">
        <v>854</v>
      </c>
      <c r="N148">
        <f t="shared" si="6"/>
        <v>26</v>
      </c>
      <c r="O148" t="s">
        <v>737</v>
      </c>
      <c r="P148">
        <f t="shared" si="7"/>
        <v>4</v>
      </c>
      <c r="Q148" t="s">
        <v>737</v>
      </c>
      <c r="R148">
        <f t="shared" si="8"/>
        <v>1987</v>
      </c>
      <c r="S148" t="s">
        <v>821</v>
      </c>
      <c r="T148" s="5" t="s">
        <v>821</v>
      </c>
    </row>
    <row r="149" spans="1:20" x14ac:dyDescent="0.25">
      <c r="A149" t="s">
        <v>157</v>
      </c>
      <c r="B149" t="s">
        <v>217</v>
      </c>
      <c r="C149" t="s">
        <v>365</v>
      </c>
      <c r="D149" t="s">
        <v>563</v>
      </c>
      <c r="E149" t="s">
        <v>656</v>
      </c>
      <c r="F149" t="s">
        <v>708</v>
      </c>
      <c r="G149" t="s">
        <v>722</v>
      </c>
      <c r="H149" t="s">
        <v>733</v>
      </c>
      <c r="I149" t="s">
        <v>735</v>
      </c>
      <c r="J149" t="s">
        <v>736</v>
      </c>
      <c r="K149" s="2">
        <v>33640</v>
      </c>
      <c r="L149" s="2">
        <v>33640</v>
      </c>
      <c r="M149" s="2" t="s">
        <v>854</v>
      </c>
      <c r="N149">
        <f t="shared" si="6"/>
        <v>6</v>
      </c>
      <c r="O149" t="s">
        <v>737</v>
      </c>
      <c r="P149">
        <f t="shared" si="7"/>
        <v>2</v>
      </c>
      <c r="Q149" t="s">
        <v>737</v>
      </c>
      <c r="R149">
        <f t="shared" si="8"/>
        <v>1992</v>
      </c>
      <c r="S149" s="3">
        <v>33757</v>
      </c>
      <c r="T149" s="5" t="s">
        <v>913</v>
      </c>
    </row>
    <row r="150" spans="1:20" x14ac:dyDescent="0.25">
      <c r="A150" t="s">
        <v>158</v>
      </c>
      <c r="B150" t="s">
        <v>217</v>
      </c>
      <c r="C150" t="s">
        <v>366</v>
      </c>
      <c r="D150" t="s">
        <v>434</v>
      </c>
      <c r="E150" t="s">
        <v>629</v>
      </c>
      <c r="F150" t="s">
        <v>680</v>
      </c>
      <c r="G150" t="s">
        <v>718</v>
      </c>
      <c r="H150" t="s">
        <v>729</v>
      </c>
      <c r="I150" t="s">
        <v>735</v>
      </c>
      <c r="J150" t="s">
        <v>736</v>
      </c>
      <c r="K150" s="2">
        <v>31006</v>
      </c>
      <c r="L150" s="2">
        <v>31006</v>
      </c>
      <c r="M150" s="2" t="s">
        <v>854</v>
      </c>
      <c r="N150">
        <f t="shared" si="6"/>
        <v>20</v>
      </c>
      <c r="O150" t="s">
        <v>737</v>
      </c>
      <c r="P150">
        <f t="shared" si="7"/>
        <v>11</v>
      </c>
      <c r="Q150" t="s">
        <v>737</v>
      </c>
      <c r="R150">
        <f t="shared" si="8"/>
        <v>1984</v>
      </c>
      <c r="S150" t="s">
        <v>822</v>
      </c>
      <c r="T150" s="5" t="s">
        <v>822</v>
      </c>
    </row>
    <row r="151" spans="1:20" x14ac:dyDescent="0.25">
      <c r="A151" t="s">
        <v>159</v>
      </c>
      <c r="B151" t="s">
        <v>217</v>
      </c>
      <c r="C151" t="s">
        <v>367</v>
      </c>
      <c r="D151" t="s">
        <v>555</v>
      </c>
      <c r="E151" t="s">
        <v>653</v>
      </c>
      <c r="F151" t="s">
        <v>705</v>
      </c>
      <c r="G151" t="s">
        <v>714</v>
      </c>
      <c r="H151" t="s">
        <v>725</v>
      </c>
      <c r="I151" t="s">
        <v>735</v>
      </c>
      <c r="J151" t="s">
        <v>736</v>
      </c>
      <c r="K151" s="2">
        <v>34321</v>
      </c>
      <c r="L151" s="2">
        <v>34321</v>
      </c>
      <c r="M151" s="2" t="s">
        <v>854</v>
      </c>
      <c r="N151">
        <f t="shared" si="6"/>
        <v>18</v>
      </c>
      <c r="O151" t="s">
        <v>737</v>
      </c>
      <c r="P151">
        <f t="shared" si="7"/>
        <v>12</v>
      </c>
      <c r="Q151" t="s">
        <v>737</v>
      </c>
      <c r="R151">
        <f t="shared" si="8"/>
        <v>1993</v>
      </c>
      <c r="S151" t="s">
        <v>823</v>
      </c>
      <c r="T151" s="5" t="s">
        <v>823</v>
      </c>
    </row>
    <row r="152" spans="1:20" x14ac:dyDescent="0.25">
      <c r="A152" t="s">
        <v>160</v>
      </c>
      <c r="B152" t="s">
        <v>217</v>
      </c>
      <c r="C152" t="s">
        <v>368</v>
      </c>
      <c r="D152" t="s">
        <v>564</v>
      </c>
      <c r="E152" t="s">
        <v>643</v>
      </c>
      <c r="F152" t="s">
        <v>694</v>
      </c>
      <c r="G152" t="s">
        <v>718</v>
      </c>
      <c r="H152" t="s">
        <v>729</v>
      </c>
      <c r="I152" t="s">
        <v>735</v>
      </c>
      <c r="J152" t="s">
        <v>736</v>
      </c>
      <c r="K152" s="2">
        <v>36017</v>
      </c>
      <c r="L152" s="2">
        <v>36017</v>
      </c>
      <c r="M152" s="2" t="s">
        <v>854</v>
      </c>
      <c r="N152">
        <f t="shared" si="6"/>
        <v>10</v>
      </c>
      <c r="O152" t="s">
        <v>737</v>
      </c>
      <c r="P152">
        <f t="shared" si="7"/>
        <v>8</v>
      </c>
      <c r="Q152" t="s">
        <v>737</v>
      </c>
      <c r="R152">
        <f t="shared" si="8"/>
        <v>1998</v>
      </c>
      <c r="S152" s="3">
        <v>36076</v>
      </c>
      <c r="T152" s="5" t="s">
        <v>914</v>
      </c>
    </row>
    <row r="153" spans="1:20" x14ac:dyDescent="0.25">
      <c r="A153" t="s">
        <v>161</v>
      </c>
      <c r="B153" t="s">
        <v>217</v>
      </c>
      <c r="C153" t="s">
        <v>369</v>
      </c>
      <c r="D153" t="s">
        <v>565</v>
      </c>
      <c r="E153" t="s">
        <v>622</v>
      </c>
      <c r="F153" t="s">
        <v>673</v>
      </c>
      <c r="G153" t="s">
        <v>719</v>
      </c>
      <c r="H153" t="s">
        <v>730</v>
      </c>
      <c r="I153" t="s">
        <v>735</v>
      </c>
      <c r="J153" t="s">
        <v>736</v>
      </c>
      <c r="K153" s="2">
        <v>32269</v>
      </c>
      <c r="L153" s="2">
        <v>32269</v>
      </c>
      <c r="M153" s="2" t="s">
        <v>854</v>
      </c>
      <c r="N153">
        <f t="shared" si="6"/>
        <v>6</v>
      </c>
      <c r="O153" t="s">
        <v>737</v>
      </c>
      <c r="P153">
        <f t="shared" si="7"/>
        <v>5</v>
      </c>
      <c r="Q153" t="s">
        <v>737</v>
      </c>
      <c r="R153">
        <f t="shared" si="8"/>
        <v>1988</v>
      </c>
      <c r="S153" s="3">
        <v>32299</v>
      </c>
      <c r="T153" s="5" t="s">
        <v>915</v>
      </c>
    </row>
    <row r="154" spans="1:20" x14ac:dyDescent="0.25">
      <c r="A154" t="s">
        <v>162</v>
      </c>
      <c r="B154" t="s">
        <v>217</v>
      </c>
      <c r="C154" t="s">
        <v>370</v>
      </c>
      <c r="D154" t="s">
        <v>566</v>
      </c>
      <c r="E154" t="s">
        <v>615</v>
      </c>
      <c r="F154" t="s">
        <v>666</v>
      </c>
      <c r="G154" t="s">
        <v>716</v>
      </c>
      <c r="H154" t="s">
        <v>727</v>
      </c>
      <c r="I154" t="s">
        <v>735</v>
      </c>
      <c r="J154" t="s">
        <v>736</v>
      </c>
      <c r="M154" s="2" t="s">
        <v>854</v>
      </c>
      <c r="N154">
        <f t="shared" si="6"/>
        <v>0</v>
      </c>
      <c r="O154" t="s">
        <v>737</v>
      </c>
      <c r="P154">
        <f t="shared" si="7"/>
        <v>1</v>
      </c>
      <c r="Q154" t="s">
        <v>737</v>
      </c>
      <c r="R154">
        <f t="shared" si="8"/>
        <v>1900</v>
      </c>
      <c r="S154" t="s">
        <v>767</v>
      </c>
      <c r="T154" s="5" t="s">
        <v>767</v>
      </c>
    </row>
    <row r="155" spans="1:20" x14ac:dyDescent="0.25">
      <c r="A155" t="s">
        <v>163</v>
      </c>
      <c r="B155" t="s">
        <v>217</v>
      </c>
      <c r="C155" t="s">
        <v>371</v>
      </c>
      <c r="D155" t="s">
        <v>567</v>
      </c>
      <c r="E155" t="s">
        <v>657</v>
      </c>
      <c r="F155" t="s">
        <v>709</v>
      </c>
      <c r="G155" t="s">
        <v>718</v>
      </c>
      <c r="H155" t="s">
        <v>729</v>
      </c>
      <c r="I155" t="s">
        <v>735</v>
      </c>
      <c r="J155" t="s">
        <v>736</v>
      </c>
      <c r="K155" s="2">
        <v>34493</v>
      </c>
      <c r="L155" s="2">
        <v>34493</v>
      </c>
      <c r="M155" s="2" t="s">
        <v>854</v>
      </c>
      <c r="N155">
        <f t="shared" si="6"/>
        <v>8</v>
      </c>
      <c r="O155" t="s">
        <v>737</v>
      </c>
      <c r="P155">
        <f t="shared" si="7"/>
        <v>6</v>
      </c>
      <c r="Q155" t="s">
        <v>737</v>
      </c>
      <c r="R155">
        <f t="shared" si="8"/>
        <v>1994</v>
      </c>
      <c r="S155" s="3">
        <v>34552</v>
      </c>
      <c r="T155" s="5" t="s">
        <v>916</v>
      </c>
    </row>
    <row r="156" spans="1:20" x14ac:dyDescent="0.25">
      <c r="A156" t="s">
        <v>164</v>
      </c>
      <c r="B156" t="s">
        <v>217</v>
      </c>
      <c r="C156" t="s">
        <v>372</v>
      </c>
      <c r="D156" t="s">
        <v>568</v>
      </c>
      <c r="E156" t="s">
        <v>621</v>
      </c>
      <c r="F156" t="s">
        <v>672</v>
      </c>
      <c r="G156" t="s">
        <v>718</v>
      </c>
      <c r="H156" t="s">
        <v>729</v>
      </c>
      <c r="I156" t="s">
        <v>735</v>
      </c>
      <c r="J156" t="s">
        <v>736</v>
      </c>
      <c r="K156" s="2">
        <v>34024</v>
      </c>
      <c r="L156" s="2">
        <v>34024</v>
      </c>
      <c r="M156" s="2" t="s">
        <v>854</v>
      </c>
      <c r="N156">
        <f t="shared" si="6"/>
        <v>24</v>
      </c>
      <c r="O156" t="s">
        <v>737</v>
      </c>
      <c r="P156">
        <f t="shared" si="7"/>
        <v>2</v>
      </c>
      <c r="Q156" t="s">
        <v>737</v>
      </c>
      <c r="R156">
        <f t="shared" si="8"/>
        <v>1993</v>
      </c>
      <c r="S156" t="s">
        <v>824</v>
      </c>
      <c r="T156" s="5" t="s">
        <v>824</v>
      </c>
    </row>
    <row r="157" spans="1:20" x14ac:dyDescent="0.25">
      <c r="A157" t="s">
        <v>165</v>
      </c>
      <c r="B157" t="s">
        <v>217</v>
      </c>
      <c r="C157" t="s">
        <v>373</v>
      </c>
      <c r="D157" t="s">
        <v>569</v>
      </c>
      <c r="E157" t="s">
        <v>621</v>
      </c>
      <c r="F157" t="s">
        <v>672</v>
      </c>
      <c r="G157" t="s">
        <v>718</v>
      </c>
      <c r="H157" t="s">
        <v>729</v>
      </c>
      <c r="I157" t="s">
        <v>735</v>
      </c>
      <c r="J157" t="s">
        <v>736</v>
      </c>
      <c r="K157" s="2">
        <v>33341</v>
      </c>
      <c r="L157" s="2">
        <v>33341</v>
      </c>
      <c r="M157" s="2" t="s">
        <v>854</v>
      </c>
      <c r="N157">
        <f t="shared" si="6"/>
        <v>13</v>
      </c>
      <c r="O157" t="s">
        <v>737</v>
      </c>
      <c r="P157">
        <f t="shared" si="7"/>
        <v>4</v>
      </c>
      <c r="Q157" t="s">
        <v>737</v>
      </c>
      <c r="R157">
        <f t="shared" si="8"/>
        <v>1991</v>
      </c>
      <c r="S157" t="s">
        <v>825</v>
      </c>
      <c r="T157" s="5" t="s">
        <v>825</v>
      </c>
    </row>
    <row r="158" spans="1:20" x14ac:dyDescent="0.25">
      <c r="A158" t="s">
        <v>166</v>
      </c>
      <c r="B158" t="s">
        <v>217</v>
      </c>
      <c r="C158" t="s">
        <v>374</v>
      </c>
      <c r="D158" t="s">
        <v>570</v>
      </c>
      <c r="E158" t="s">
        <v>621</v>
      </c>
      <c r="F158" t="s">
        <v>672</v>
      </c>
      <c r="G158" t="s">
        <v>718</v>
      </c>
      <c r="H158" t="s">
        <v>729</v>
      </c>
      <c r="I158" t="s">
        <v>735</v>
      </c>
      <c r="J158" t="s">
        <v>736</v>
      </c>
      <c r="K158" s="2">
        <v>30497</v>
      </c>
      <c r="L158" s="2">
        <v>30497</v>
      </c>
      <c r="M158" s="2" t="s">
        <v>854</v>
      </c>
      <c r="N158">
        <f t="shared" si="6"/>
        <v>30</v>
      </c>
      <c r="O158" t="s">
        <v>737</v>
      </c>
      <c r="P158">
        <f t="shared" si="7"/>
        <v>6</v>
      </c>
      <c r="Q158" t="s">
        <v>737</v>
      </c>
      <c r="R158">
        <f t="shared" si="8"/>
        <v>1983</v>
      </c>
      <c r="S158" t="s">
        <v>826</v>
      </c>
      <c r="T158" s="5" t="s">
        <v>826</v>
      </c>
    </row>
    <row r="159" spans="1:20" x14ac:dyDescent="0.25">
      <c r="A159" t="s">
        <v>167</v>
      </c>
      <c r="B159" t="s">
        <v>217</v>
      </c>
      <c r="C159" t="s">
        <v>375</v>
      </c>
      <c r="D159" t="s">
        <v>571</v>
      </c>
      <c r="E159" t="s">
        <v>635</v>
      </c>
      <c r="F159" t="s">
        <v>686</v>
      </c>
      <c r="G159" t="s">
        <v>717</v>
      </c>
      <c r="H159" t="s">
        <v>728</v>
      </c>
      <c r="I159" t="s">
        <v>735</v>
      </c>
      <c r="J159" t="s">
        <v>736</v>
      </c>
      <c r="K159" s="2">
        <v>33030</v>
      </c>
      <c r="L159" s="2">
        <v>33030</v>
      </c>
      <c r="M159" s="2" t="s">
        <v>854</v>
      </c>
      <c r="N159">
        <f t="shared" si="6"/>
        <v>6</v>
      </c>
      <c r="O159" t="s">
        <v>737</v>
      </c>
      <c r="P159">
        <f t="shared" si="7"/>
        <v>6</v>
      </c>
      <c r="Q159" t="s">
        <v>737</v>
      </c>
      <c r="R159">
        <f t="shared" si="8"/>
        <v>1990</v>
      </c>
      <c r="S159" s="3">
        <v>33030</v>
      </c>
      <c r="T159" s="5" t="s">
        <v>917</v>
      </c>
    </row>
    <row r="160" spans="1:20" x14ac:dyDescent="0.25">
      <c r="A160" t="s">
        <v>168</v>
      </c>
      <c r="B160" t="s">
        <v>217</v>
      </c>
      <c r="C160" t="s">
        <v>376</v>
      </c>
      <c r="D160" t="s">
        <v>516</v>
      </c>
      <c r="G160" t="s">
        <v>717</v>
      </c>
      <c r="H160" t="s">
        <v>728</v>
      </c>
      <c r="I160" t="s">
        <v>735</v>
      </c>
      <c r="J160" t="s">
        <v>736</v>
      </c>
      <c r="K160" s="2">
        <v>32352</v>
      </c>
      <c r="L160" s="2">
        <v>32352</v>
      </c>
      <c r="M160" s="2" t="s">
        <v>854</v>
      </c>
      <c r="N160">
        <f t="shared" si="6"/>
        <v>28</v>
      </c>
      <c r="O160" t="s">
        <v>737</v>
      </c>
      <c r="P160">
        <f t="shared" si="7"/>
        <v>7</v>
      </c>
      <c r="Q160" t="s">
        <v>737</v>
      </c>
      <c r="R160">
        <f t="shared" si="8"/>
        <v>1988</v>
      </c>
      <c r="S160" t="s">
        <v>827</v>
      </c>
      <c r="T160" s="5" t="s">
        <v>827</v>
      </c>
    </row>
    <row r="161" spans="1:20" x14ac:dyDescent="0.25">
      <c r="A161" t="s">
        <v>169</v>
      </c>
      <c r="B161" t="s">
        <v>217</v>
      </c>
      <c r="C161" t="s">
        <v>377</v>
      </c>
      <c r="D161" t="s">
        <v>572</v>
      </c>
      <c r="G161" t="s">
        <v>717</v>
      </c>
      <c r="H161" t="s">
        <v>728</v>
      </c>
      <c r="I161" t="s">
        <v>735</v>
      </c>
      <c r="J161" t="s">
        <v>736</v>
      </c>
      <c r="K161" s="2">
        <v>32157</v>
      </c>
      <c r="L161" s="2">
        <v>32157</v>
      </c>
      <c r="M161" s="2" t="s">
        <v>854</v>
      </c>
      <c r="N161">
        <f t="shared" si="6"/>
        <v>15</v>
      </c>
      <c r="O161" t="s">
        <v>737</v>
      </c>
      <c r="P161">
        <f t="shared" si="7"/>
        <v>1</v>
      </c>
      <c r="Q161" t="s">
        <v>737</v>
      </c>
      <c r="R161">
        <f t="shared" si="8"/>
        <v>1988</v>
      </c>
      <c r="S161" t="s">
        <v>828</v>
      </c>
      <c r="T161" s="5" t="s">
        <v>828</v>
      </c>
    </row>
    <row r="162" spans="1:20" x14ac:dyDescent="0.25">
      <c r="A162" t="s">
        <v>170</v>
      </c>
      <c r="B162" t="s">
        <v>217</v>
      </c>
      <c r="C162" t="s">
        <v>378</v>
      </c>
      <c r="D162" t="s">
        <v>573</v>
      </c>
      <c r="E162" t="s">
        <v>635</v>
      </c>
      <c r="F162" t="s">
        <v>686</v>
      </c>
      <c r="G162" t="s">
        <v>717</v>
      </c>
      <c r="H162" t="s">
        <v>728</v>
      </c>
      <c r="I162" t="s">
        <v>735</v>
      </c>
      <c r="J162" t="s">
        <v>736</v>
      </c>
      <c r="K162" s="2">
        <v>31637</v>
      </c>
      <c r="L162" s="2">
        <v>31637</v>
      </c>
      <c r="M162" s="2" t="s">
        <v>854</v>
      </c>
      <c r="N162">
        <f t="shared" si="6"/>
        <v>13</v>
      </c>
      <c r="O162" t="s">
        <v>737</v>
      </c>
      <c r="P162">
        <f t="shared" si="7"/>
        <v>8</v>
      </c>
      <c r="Q162" t="s">
        <v>737</v>
      </c>
      <c r="R162">
        <f t="shared" si="8"/>
        <v>1986</v>
      </c>
      <c r="S162" t="s">
        <v>829</v>
      </c>
      <c r="T162" s="5" t="s">
        <v>829</v>
      </c>
    </row>
    <row r="163" spans="1:20" x14ac:dyDescent="0.25">
      <c r="A163" t="s">
        <v>171</v>
      </c>
      <c r="B163" t="s">
        <v>217</v>
      </c>
      <c r="C163" t="s">
        <v>379</v>
      </c>
      <c r="D163" t="s">
        <v>574</v>
      </c>
      <c r="E163" t="s">
        <v>640</v>
      </c>
      <c r="F163" t="s">
        <v>691</v>
      </c>
      <c r="G163" t="s">
        <v>718</v>
      </c>
      <c r="H163" t="s">
        <v>729</v>
      </c>
      <c r="I163" t="s">
        <v>735</v>
      </c>
      <c r="J163" t="s">
        <v>736</v>
      </c>
      <c r="M163" s="2" t="s">
        <v>854</v>
      </c>
      <c r="N163">
        <f t="shared" si="6"/>
        <v>0</v>
      </c>
      <c r="O163" t="s">
        <v>737</v>
      </c>
      <c r="P163">
        <f t="shared" si="7"/>
        <v>1</v>
      </c>
      <c r="Q163" t="s">
        <v>737</v>
      </c>
      <c r="R163">
        <f t="shared" si="8"/>
        <v>1900</v>
      </c>
      <c r="S163" t="s">
        <v>767</v>
      </c>
      <c r="T163" s="5" t="s">
        <v>767</v>
      </c>
    </row>
    <row r="164" spans="1:20" x14ac:dyDescent="0.25">
      <c r="A164" t="s">
        <v>172</v>
      </c>
      <c r="B164" t="s">
        <v>217</v>
      </c>
      <c r="C164" t="s">
        <v>380</v>
      </c>
      <c r="D164" t="s">
        <v>575</v>
      </c>
      <c r="E164" t="s">
        <v>625</v>
      </c>
      <c r="F164" t="s">
        <v>676</v>
      </c>
      <c r="G164" t="s">
        <v>720</v>
      </c>
      <c r="H164" t="s">
        <v>731</v>
      </c>
      <c r="I164" t="s">
        <v>735</v>
      </c>
      <c r="J164" t="s">
        <v>736</v>
      </c>
      <c r="K164" s="2">
        <v>33223</v>
      </c>
      <c r="L164" s="2">
        <v>33223</v>
      </c>
      <c r="M164" s="2" t="s">
        <v>854</v>
      </c>
      <c r="N164">
        <f t="shared" si="6"/>
        <v>16</v>
      </c>
      <c r="O164" t="s">
        <v>737</v>
      </c>
      <c r="P164">
        <f t="shared" si="7"/>
        <v>12</v>
      </c>
      <c r="Q164" t="s">
        <v>737</v>
      </c>
      <c r="R164">
        <f t="shared" si="8"/>
        <v>1990</v>
      </c>
      <c r="S164" t="s">
        <v>830</v>
      </c>
      <c r="T164" s="5" t="s">
        <v>830</v>
      </c>
    </row>
    <row r="165" spans="1:20" x14ac:dyDescent="0.25">
      <c r="A165" t="s">
        <v>173</v>
      </c>
      <c r="B165" t="s">
        <v>217</v>
      </c>
      <c r="C165" t="s">
        <v>381</v>
      </c>
      <c r="D165" t="s">
        <v>576</v>
      </c>
      <c r="E165" t="s">
        <v>621</v>
      </c>
      <c r="F165" t="s">
        <v>672</v>
      </c>
      <c r="G165" t="s">
        <v>718</v>
      </c>
      <c r="H165" t="s">
        <v>729</v>
      </c>
      <c r="I165" t="s">
        <v>735</v>
      </c>
      <c r="J165" t="s">
        <v>736</v>
      </c>
      <c r="K165" s="2">
        <v>28408</v>
      </c>
      <c r="L165" s="2">
        <v>28408</v>
      </c>
      <c r="M165" s="2" t="s">
        <v>854</v>
      </c>
      <c r="N165">
        <f t="shared" si="6"/>
        <v>10</v>
      </c>
      <c r="O165" t="s">
        <v>737</v>
      </c>
      <c r="P165">
        <f t="shared" si="7"/>
        <v>10</v>
      </c>
      <c r="Q165" t="s">
        <v>737</v>
      </c>
      <c r="R165">
        <f t="shared" si="8"/>
        <v>1977</v>
      </c>
      <c r="S165" s="3">
        <v>28408</v>
      </c>
      <c r="T165" s="5" t="s">
        <v>918</v>
      </c>
    </row>
    <row r="166" spans="1:20" x14ac:dyDescent="0.25">
      <c r="A166" t="s">
        <v>174</v>
      </c>
      <c r="B166" t="s">
        <v>217</v>
      </c>
      <c r="C166" t="s">
        <v>382</v>
      </c>
      <c r="D166" t="s">
        <v>577</v>
      </c>
      <c r="E166" t="s">
        <v>640</v>
      </c>
      <c r="F166" t="s">
        <v>691</v>
      </c>
      <c r="G166" t="s">
        <v>718</v>
      </c>
      <c r="H166" t="s">
        <v>729</v>
      </c>
      <c r="I166" t="s">
        <v>735</v>
      </c>
      <c r="J166" t="s">
        <v>736</v>
      </c>
      <c r="K166" s="2">
        <v>26161</v>
      </c>
      <c r="L166" s="2">
        <v>26161</v>
      </c>
      <c r="M166" s="2" t="s">
        <v>854</v>
      </c>
      <c r="N166">
        <f t="shared" si="6"/>
        <v>16</v>
      </c>
      <c r="O166" t="s">
        <v>737</v>
      </c>
      <c r="P166">
        <f t="shared" si="7"/>
        <v>8</v>
      </c>
      <c r="Q166" t="s">
        <v>737</v>
      </c>
      <c r="R166">
        <f t="shared" si="8"/>
        <v>1971</v>
      </c>
      <c r="S166" t="s">
        <v>831</v>
      </c>
      <c r="T166" s="5" t="s">
        <v>831</v>
      </c>
    </row>
    <row r="167" spans="1:20" x14ac:dyDescent="0.25">
      <c r="A167" t="s">
        <v>175</v>
      </c>
      <c r="B167" t="s">
        <v>217</v>
      </c>
      <c r="C167" t="s">
        <v>383</v>
      </c>
      <c r="D167" t="s">
        <v>578</v>
      </c>
      <c r="E167" t="s">
        <v>621</v>
      </c>
      <c r="F167" t="s">
        <v>672</v>
      </c>
      <c r="G167" t="s">
        <v>718</v>
      </c>
      <c r="H167" t="s">
        <v>729</v>
      </c>
      <c r="I167" t="s">
        <v>735</v>
      </c>
      <c r="J167" t="s">
        <v>736</v>
      </c>
      <c r="K167" s="2">
        <v>29732</v>
      </c>
      <c r="L167" s="2">
        <v>29732</v>
      </c>
      <c r="M167" s="2" t="s">
        <v>854</v>
      </c>
      <c r="N167">
        <f t="shared" si="6"/>
        <v>26</v>
      </c>
      <c r="O167" t="s">
        <v>737</v>
      </c>
      <c r="P167">
        <f t="shared" si="7"/>
        <v>5</v>
      </c>
      <c r="Q167" t="s">
        <v>737</v>
      </c>
      <c r="R167">
        <f t="shared" si="8"/>
        <v>1981</v>
      </c>
      <c r="S167" t="s">
        <v>832</v>
      </c>
      <c r="T167" s="5" t="s">
        <v>832</v>
      </c>
    </row>
    <row r="168" spans="1:20" x14ac:dyDescent="0.25">
      <c r="A168" t="s">
        <v>176</v>
      </c>
      <c r="B168" t="s">
        <v>217</v>
      </c>
      <c r="C168" t="s">
        <v>384</v>
      </c>
      <c r="D168" t="s">
        <v>579</v>
      </c>
      <c r="E168" t="s">
        <v>624</v>
      </c>
      <c r="F168" t="s">
        <v>675</v>
      </c>
      <c r="G168" t="s">
        <v>720</v>
      </c>
      <c r="H168" t="s">
        <v>731</v>
      </c>
      <c r="I168" t="s">
        <v>735</v>
      </c>
      <c r="J168" t="s">
        <v>736</v>
      </c>
      <c r="K168" s="2">
        <v>34488</v>
      </c>
      <c r="L168" s="2">
        <v>34488</v>
      </c>
      <c r="M168" s="2" t="s">
        <v>854</v>
      </c>
      <c r="N168">
        <f t="shared" si="6"/>
        <v>3</v>
      </c>
      <c r="O168" t="s">
        <v>737</v>
      </c>
      <c r="P168">
        <f t="shared" si="7"/>
        <v>6</v>
      </c>
      <c r="Q168" t="s">
        <v>737</v>
      </c>
      <c r="R168">
        <f t="shared" si="8"/>
        <v>1994</v>
      </c>
      <c r="S168" s="3">
        <v>34399</v>
      </c>
      <c r="T168" s="5" t="s">
        <v>919</v>
      </c>
    </row>
    <row r="169" spans="1:20" x14ac:dyDescent="0.25">
      <c r="A169" t="s">
        <v>177</v>
      </c>
      <c r="B169" t="s">
        <v>217</v>
      </c>
      <c r="C169" t="s">
        <v>385</v>
      </c>
      <c r="D169" t="s">
        <v>580</v>
      </c>
      <c r="E169" t="s">
        <v>615</v>
      </c>
      <c r="F169" t="s">
        <v>666</v>
      </c>
      <c r="G169" t="s">
        <v>716</v>
      </c>
      <c r="H169" t="s">
        <v>727</v>
      </c>
      <c r="I169" t="s">
        <v>735</v>
      </c>
      <c r="J169" t="s">
        <v>736</v>
      </c>
      <c r="K169" s="2">
        <v>33817</v>
      </c>
      <c r="L169" s="2">
        <v>33817</v>
      </c>
      <c r="M169" s="2" t="s">
        <v>854</v>
      </c>
      <c r="N169">
        <f t="shared" si="6"/>
        <v>1</v>
      </c>
      <c r="O169" t="s">
        <v>737</v>
      </c>
      <c r="P169">
        <f t="shared" si="7"/>
        <v>8</v>
      </c>
      <c r="Q169" t="s">
        <v>737</v>
      </c>
      <c r="R169">
        <f t="shared" si="8"/>
        <v>1992</v>
      </c>
      <c r="S169" s="3">
        <v>33611</v>
      </c>
      <c r="T169" s="5" t="s">
        <v>920</v>
      </c>
    </row>
    <row r="170" spans="1:20" x14ac:dyDescent="0.25">
      <c r="A170" t="s">
        <v>178</v>
      </c>
      <c r="B170" t="s">
        <v>217</v>
      </c>
      <c r="C170" t="s">
        <v>386</v>
      </c>
      <c r="D170" t="s">
        <v>581</v>
      </c>
      <c r="E170" t="s">
        <v>641</v>
      </c>
      <c r="F170" t="s">
        <v>692</v>
      </c>
      <c r="G170" t="s">
        <v>718</v>
      </c>
      <c r="H170" t="s">
        <v>729</v>
      </c>
      <c r="I170" t="s">
        <v>735</v>
      </c>
      <c r="J170" t="s">
        <v>736</v>
      </c>
      <c r="K170" s="2">
        <v>31984</v>
      </c>
      <c r="L170" s="2">
        <v>31984</v>
      </c>
      <c r="M170" s="2" t="s">
        <v>854</v>
      </c>
      <c r="N170">
        <f t="shared" si="6"/>
        <v>26</v>
      </c>
      <c r="O170" t="s">
        <v>737</v>
      </c>
      <c r="P170">
        <f t="shared" si="7"/>
        <v>7</v>
      </c>
      <c r="Q170" t="s">
        <v>737</v>
      </c>
      <c r="R170">
        <f t="shared" si="8"/>
        <v>1987</v>
      </c>
      <c r="S170" t="s">
        <v>833</v>
      </c>
      <c r="T170" s="5" t="s">
        <v>833</v>
      </c>
    </row>
    <row r="171" spans="1:20" x14ac:dyDescent="0.25">
      <c r="A171" t="s">
        <v>179</v>
      </c>
      <c r="B171" t="s">
        <v>217</v>
      </c>
      <c r="C171" t="s">
        <v>387</v>
      </c>
      <c r="D171" t="s">
        <v>582</v>
      </c>
      <c r="E171" t="s">
        <v>611</v>
      </c>
      <c r="F171" t="s">
        <v>662</v>
      </c>
      <c r="G171" t="s">
        <v>714</v>
      </c>
      <c r="H171" t="s">
        <v>725</v>
      </c>
      <c r="I171" t="s">
        <v>735</v>
      </c>
      <c r="J171" t="s">
        <v>736</v>
      </c>
      <c r="K171" s="2">
        <v>31998</v>
      </c>
      <c r="L171" s="2">
        <v>31998</v>
      </c>
      <c r="M171" s="2" t="s">
        <v>854</v>
      </c>
      <c r="N171">
        <f t="shared" si="6"/>
        <v>9</v>
      </c>
      <c r="O171" t="s">
        <v>737</v>
      </c>
      <c r="P171">
        <f t="shared" si="7"/>
        <v>8</v>
      </c>
      <c r="Q171" t="s">
        <v>737</v>
      </c>
      <c r="R171">
        <f t="shared" si="8"/>
        <v>1987</v>
      </c>
      <c r="S171" s="3">
        <v>32028</v>
      </c>
      <c r="T171" s="5" t="s">
        <v>921</v>
      </c>
    </row>
    <row r="172" spans="1:20" x14ac:dyDescent="0.25">
      <c r="A172" t="s">
        <v>180</v>
      </c>
      <c r="B172" t="s">
        <v>217</v>
      </c>
      <c r="C172" t="s">
        <v>388</v>
      </c>
      <c r="D172" t="s">
        <v>583</v>
      </c>
      <c r="E172" t="s">
        <v>657</v>
      </c>
      <c r="F172" t="s">
        <v>709</v>
      </c>
      <c r="G172" t="s">
        <v>718</v>
      </c>
      <c r="H172" t="s">
        <v>729</v>
      </c>
      <c r="I172" t="s">
        <v>735</v>
      </c>
      <c r="J172" t="s">
        <v>736</v>
      </c>
      <c r="K172" s="2">
        <v>33217</v>
      </c>
      <c r="L172" s="2">
        <v>33217</v>
      </c>
      <c r="M172" s="2" t="s">
        <v>854</v>
      </c>
      <c r="N172">
        <f t="shared" si="6"/>
        <v>10</v>
      </c>
      <c r="O172" t="s">
        <v>737</v>
      </c>
      <c r="P172">
        <f t="shared" si="7"/>
        <v>12</v>
      </c>
      <c r="Q172" t="s">
        <v>737</v>
      </c>
      <c r="R172">
        <f t="shared" si="8"/>
        <v>1990</v>
      </c>
      <c r="S172" s="3">
        <v>33158</v>
      </c>
      <c r="T172" s="5" t="s">
        <v>883</v>
      </c>
    </row>
    <row r="173" spans="1:20" x14ac:dyDescent="0.25">
      <c r="A173" t="s">
        <v>181</v>
      </c>
      <c r="B173" t="s">
        <v>217</v>
      </c>
      <c r="C173" t="s">
        <v>389</v>
      </c>
      <c r="D173" t="s">
        <v>584</v>
      </c>
      <c r="E173" t="s">
        <v>611</v>
      </c>
      <c r="F173" t="s">
        <v>662</v>
      </c>
      <c r="G173" t="s">
        <v>714</v>
      </c>
      <c r="H173" t="s">
        <v>725</v>
      </c>
      <c r="I173" t="s">
        <v>735</v>
      </c>
      <c r="J173" t="s">
        <v>736</v>
      </c>
      <c r="K173" s="2">
        <v>32561</v>
      </c>
      <c r="L173" s="2">
        <v>32561</v>
      </c>
      <c r="M173" s="2" t="s">
        <v>854</v>
      </c>
      <c r="N173">
        <f t="shared" si="6"/>
        <v>22</v>
      </c>
      <c r="O173" t="s">
        <v>737</v>
      </c>
      <c r="P173">
        <f t="shared" si="7"/>
        <v>2</v>
      </c>
      <c r="Q173" t="s">
        <v>737</v>
      </c>
      <c r="R173">
        <f t="shared" si="8"/>
        <v>1989</v>
      </c>
      <c r="S173" t="s">
        <v>834</v>
      </c>
      <c r="T173" s="5" t="s">
        <v>834</v>
      </c>
    </row>
    <row r="174" spans="1:20" x14ac:dyDescent="0.25">
      <c r="A174" t="s">
        <v>182</v>
      </c>
      <c r="B174" t="s">
        <v>217</v>
      </c>
      <c r="C174" t="s">
        <v>390</v>
      </c>
      <c r="D174" t="s">
        <v>585</v>
      </c>
      <c r="E174" t="s">
        <v>619</v>
      </c>
      <c r="F174" t="s">
        <v>670</v>
      </c>
      <c r="G174" t="s">
        <v>717</v>
      </c>
      <c r="H174" t="s">
        <v>728</v>
      </c>
      <c r="I174" t="s">
        <v>735</v>
      </c>
      <c r="J174" t="s">
        <v>736</v>
      </c>
      <c r="K174" s="2">
        <v>30627</v>
      </c>
      <c r="L174" s="2">
        <v>30627</v>
      </c>
      <c r="M174" s="2" t="s">
        <v>854</v>
      </c>
      <c r="N174">
        <f t="shared" si="6"/>
        <v>7</v>
      </c>
      <c r="O174" t="s">
        <v>737</v>
      </c>
      <c r="P174">
        <f t="shared" si="7"/>
        <v>11</v>
      </c>
      <c r="Q174" t="s">
        <v>737</v>
      </c>
      <c r="R174">
        <f t="shared" si="8"/>
        <v>1983</v>
      </c>
      <c r="S174" s="3">
        <v>30508</v>
      </c>
      <c r="T174" s="5" t="s">
        <v>922</v>
      </c>
    </row>
    <row r="175" spans="1:20" x14ac:dyDescent="0.25">
      <c r="A175" t="s">
        <v>183</v>
      </c>
      <c r="B175" t="s">
        <v>217</v>
      </c>
      <c r="C175" t="s">
        <v>391</v>
      </c>
      <c r="D175" t="s">
        <v>586</v>
      </c>
      <c r="E175" t="s">
        <v>621</v>
      </c>
      <c r="F175" t="s">
        <v>672</v>
      </c>
      <c r="G175" t="s">
        <v>718</v>
      </c>
      <c r="H175" t="s">
        <v>729</v>
      </c>
      <c r="I175" t="s">
        <v>735</v>
      </c>
      <c r="J175" t="s">
        <v>736</v>
      </c>
      <c r="K175" s="2">
        <v>30935</v>
      </c>
      <c r="L175" s="2">
        <v>30935</v>
      </c>
      <c r="M175" s="2" t="s">
        <v>854</v>
      </c>
      <c r="N175">
        <f t="shared" si="6"/>
        <v>10</v>
      </c>
      <c r="O175" t="s">
        <v>737</v>
      </c>
      <c r="P175">
        <f t="shared" si="7"/>
        <v>9</v>
      </c>
      <c r="Q175" t="s">
        <v>737</v>
      </c>
      <c r="R175">
        <f t="shared" si="8"/>
        <v>1984</v>
      </c>
      <c r="S175" s="3">
        <v>30964</v>
      </c>
      <c r="T175" s="5" t="s">
        <v>923</v>
      </c>
    </row>
    <row r="176" spans="1:20" x14ac:dyDescent="0.25">
      <c r="A176" t="s">
        <v>184</v>
      </c>
      <c r="B176" t="s">
        <v>217</v>
      </c>
      <c r="C176" t="s">
        <v>392</v>
      </c>
      <c r="D176" t="s">
        <v>587</v>
      </c>
      <c r="E176" t="s">
        <v>618</v>
      </c>
      <c r="F176" t="s">
        <v>669</v>
      </c>
      <c r="G176" t="s">
        <v>713</v>
      </c>
      <c r="H176" t="s">
        <v>724</v>
      </c>
      <c r="I176" t="s">
        <v>735</v>
      </c>
      <c r="J176" t="s">
        <v>736</v>
      </c>
      <c r="K176" s="2">
        <v>24025</v>
      </c>
      <c r="L176" s="2">
        <v>24025</v>
      </c>
      <c r="M176" s="2" t="s">
        <v>854</v>
      </c>
      <c r="N176">
        <f t="shared" si="6"/>
        <v>10</v>
      </c>
      <c r="O176" t="s">
        <v>737</v>
      </c>
      <c r="P176">
        <f t="shared" si="7"/>
        <v>10</v>
      </c>
      <c r="Q176" t="s">
        <v>737</v>
      </c>
      <c r="R176">
        <f t="shared" si="8"/>
        <v>1965</v>
      </c>
      <c r="S176" s="3">
        <v>24025</v>
      </c>
      <c r="T176" s="5" t="s">
        <v>924</v>
      </c>
    </row>
    <row r="177" spans="1:20" x14ac:dyDescent="0.25">
      <c r="A177" t="s">
        <v>185</v>
      </c>
      <c r="B177" t="s">
        <v>217</v>
      </c>
      <c r="C177" t="s">
        <v>393</v>
      </c>
      <c r="D177" t="s">
        <v>588</v>
      </c>
      <c r="E177" t="s">
        <v>611</v>
      </c>
      <c r="F177" t="s">
        <v>662</v>
      </c>
      <c r="G177" t="s">
        <v>714</v>
      </c>
      <c r="H177" t="s">
        <v>725</v>
      </c>
      <c r="I177" t="s">
        <v>735</v>
      </c>
      <c r="J177" t="s">
        <v>736</v>
      </c>
      <c r="K177" s="2">
        <v>31687</v>
      </c>
      <c r="L177" s="2">
        <v>31687</v>
      </c>
      <c r="M177" s="2" t="s">
        <v>854</v>
      </c>
      <c r="N177">
        <f t="shared" si="6"/>
        <v>2</v>
      </c>
      <c r="O177" t="s">
        <v>737</v>
      </c>
      <c r="P177">
        <f t="shared" si="7"/>
        <v>10</v>
      </c>
      <c r="Q177" t="s">
        <v>737</v>
      </c>
      <c r="R177">
        <f t="shared" si="8"/>
        <v>1986</v>
      </c>
      <c r="S177" s="3">
        <v>31453</v>
      </c>
      <c r="T177" s="5" t="s">
        <v>925</v>
      </c>
    </row>
    <row r="178" spans="1:20" x14ac:dyDescent="0.25">
      <c r="A178" t="s">
        <v>186</v>
      </c>
      <c r="B178" t="s">
        <v>217</v>
      </c>
      <c r="C178" t="s">
        <v>394</v>
      </c>
      <c r="D178" t="s">
        <v>589</v>
      </c>
      <c r="E178" t="s">
        <v>622</v>
      </c>
      <c r="F178" t="s">
        <v>673</v>
      </c>
      <c r="G178" t="s">
        <v>719</v>
      </c>
      <c r="H178" t="s">
        <v>730</v>
      </c>
      <c r="I178" t="s">
        <v>735</v>
      </c>
      <c r="J178" t="s">
        <v>736</v>
      </c>
      <c r="K178" s="2">
        <v>23390</v>
      </c>
      <c r="L178" s="2">
        <v>23390</v>
      </c>
      <c r="M178" s="2" t="s">
        <v>854</v>
      </c>
      <c r="N178">
        <f t="shared" si="6"/>
        <v>14</v>
      </c>
      <c r="O178" t="s">
        <v>737</v>
      </c>
      <c r="P178">
        <f t="shared" si="7"/>
        <v>1</v>
      </c>
      <c r="Q178" t="s">
        <v>737</v>
      </c>
      <c r="R178">
        <f t="shared" si="8"/>
        <v>1964</v>
      </c>
      <c r="S178" t="s">
        <v>835</v>
      </c>
      <c r="T178" s="5" t="s">
        <v>835</v>
      </c>
    </row>
    <row r="179" spans="1:20" x14ac:dyDescent="0.25">
      <c r="A179" t="s">
        <v>187</v>
      </c>
      <c r="B179" t="s">
        <v>217</v>
      </c>
      <c r="C179" t="s">
        <v>395</v>
      </c>
      <c r="D179" t="s">
        <v>590</v>
      </c>
      <c r="E179" t="s">
        <v>629</v>
      </c>
      <c r="F179" t="s">
        <v>680</v>
      </c>
      <c r="G179" t="s">
        <v>718</v>
      </c>
      <c r="H179" t="s">
        <v>729</v>
      </c>
      <c r="I179" t="s">
        <v>735</v>
      </c>
      <c r="J179" t="s">
        <v>736</v>
      </c>
      <c r="K179" s="2">
        <v>33235</v>
      </c>
      <c r="L179" s="2">
        <v>33235</v>
      </c>
      <c r="M179" s="2" t="s">
        <v>854</v>
      </c>
      <c r="N179">
        <f t="shared" si="6"/>
        <v>28</v>
      </c>
      <c r="O179" t="s">
        <v>737</v>
      </c>
      <c r="P179">
        <f t="shared" si="7"/>
        <v>12</v>
      </c>
      <c r="Q179" t="s">
        <v>737</v>
      </c>
      <c r="R179">
        <f t="shared" si="8"/>
        <v>1990</v>
      </c>
      <c r="S179" t="s">
        <v>836</v>
      </c>
      <c r="T179" s="5" t="s">
        <v>836</v>
      </c>
    </row>
    <row r="180" spans="1:20" x14ac:dyDescent="0.25">
      <c r="A180" t="s">
        <v>188</v>
      </c>
      <c r="B180" t="s">
        <v>217</v>
      </c>
      <c r="C180" t="s">
        <v>396</v>
      </c>
      <c r="D180" t="s">
        <v>591</v>
      </c>
      <c r="E180" t="s">
        <v>627</v>
      </c>
      <c r="F180" t="s">
        <v>678</v>
      </c>
      <c r="G180" t="s">
        <v>721</v>
      </c>
      <c r="H180" t="s">
        <v>732</v>
      </c>
      <c r="I180" t="s">
        <v>735</v>
      </c>
      <c r="J180" t="s">
        <v>736</v>
      </c>
      <c r="K180" s="2">
        <v>45099</v>
      </c>
      <c r="L180" s="2">
        <v>45099</v>
      </c>
      <c r="M180" s="2" t="s">
        <v>854</v>
      </c>
      <c r="N180">
        <f t="shared" si="6"/>
        <v>22</v>
      </c>
      <c r="O180" t="s">
        <v>737</v>
      </c>
      <c r="P180">
        <f t="shared" si="7"/>
        <v>6</v>
      </c>
      <c r="Q180" t="s">
        <v>737</v>
      </c>
      <c r="R180">
        <f t="shared" si="8"/>
        <v>2023</v>
      </c>
      <c r="S180" t="s">
        <v>837</v>
      </c>
      <c r="T180" s="5" t="s">
        <v>837</v>
      </c>
    </row>
    <row r="181" spans="1:20" x14ac:dyDescent="0.25">
      <c r="A181" t="s">
        <v>189</v>
      </c>
      <c r="B181" t="s">
        <v>217</v>
      </c>
      <c r="C181" t="s">
        <v>397</v>
      </c>
      <c r="D181" t="s">
        <v>592</v>
      </c>
      <c r="E181" t="s">
        <v>658</v>
      </c>
      <c r="F181" t="s">
        <v>710</v>
      </c>
      <c r="G181" t="s">
        <v>721</v>
      </c>
      <c r="H181" t="s">
        <v>732</v>
      </c>
      <c r="I181" t="s">
        <v>735</v>
      </c>
      <c r="J181" t="s">
        <v>736</v>
      </c>
      <c r="K181" s="2">
        <v>33297</v>
      </c>
      <c r="L181" s="2">
        <v>33297</v>
      </c>
      <c r="M181" s="2" t="s">
        <v>854</v>
      </c>
      <c r="N181">
        <f t="shared" si="6"/>
        <v>28</v>
      </c>
      <c r="O181" t="s">
        <v>737</v>
      </c>
      <c r="P181">
        <f t="shared" si="7"/>
        <v>2</v>
      </c>
      <c r="Q181" t="s">
        <v>737</v>
      </c>
      <c r="R181">
        <f t="shared" si="8"/>
        <v>1991</v>
      </c>
      <c r="S181" t="s">
        <v>838</v>
      </c>
      <c r="T181" s="5" t="s">
        <v>838</v>
      </c>
    </row>
    <row r="182" spans="1:20" x14ac:dyDescent="0.25">
      <c r="A182" t="s">
        <v>190</v>
      </c>
      <c r="B182" t="s">
        <v>217</v>
      </c>
      <c r="C182" t="s">
        <v>398</v>
      </c>
      <c r="D182" t="s">
        <v>593</v>
      </c>
      <c r="E182" t="s">
        <v>624</v>
      </c>
      <c r="F182" t="s">
        <v>675</v>
      </c>
      <c r="G182" t="s">
        <v>720</v>
      </c>
      <c r="H182" t="s">
        <v>731</v>
      </c>
      <c r="I182" t="s">
        <v>735</v>
      </c>
      <c r="J182" t="s">
        <v>736</v>
      </c>
      <c r="K182" s="2">
        <v>30473</v>
      </c>
      <c r="L182" s="2">
        <v>30473</v>
      </c>
      <c r="M182" s="2" t="s">
        <v>854</v>
      </c>
      <c r="N182">
        <f t="shared" si="6"/>
        <v>6</v>
      </c>
      <c r="O182" t="s">
        <v>737</v>
      </c>
      <c r="P182">
        <f t="shared" si="7"/>
        <v>6</v>
      </c>
      <c r="Q182" t="s">
        <v>737</v>
      </c>
      <c r="R182">
        <f t="shared" si="8"/>
        <v>1983</v>
      </c>
      <c r="S182" s="3">
        <v>30473</v>
      </c>
      <c r="T182" s="5" t="s">
        <v>926</v>
      </c>
    </row>
    <row r="183" spans="1:20" x14ac:dyDescent="0.25">
      <c r="A183" t="s">
        <v>191</v>
      </c>
      <c r="B183" t="s">
        <v>217</v>
      </c>
      <c r="C183" t="s">
        <v>399</v>
      </c>
      <c r="D183" t="s">
        <v>594</v>
      </c>
      <c r="E183" t="s">
        <v>634</v>
      </c>
      <c r="F183" t="s">
        <v>685</v>
      </c>
      <c r="G183" t="s">
        <v>723</v>
      </c>
      <c r="H183" t="s">
        <v>734</v>
      </c>
      <c r="I183" t="s">
        <v>735</v>
      </c>
      <c r="J183" t="s">
        <v>736</v>
      </c>
      <c r="K183" s="2">
        <v>34161</v>
      </c>
      <c r="L183" s="2">
        <v>34161</v>
      </c>
      <c r="M183" s="2" t="s">
        <v>854</v>
      </c>
      <c r="N183">
        <f t="shared" si="6"/>
        <v>11</v>
      </c>
      <c r="O183" t="s">
        <v>737</v>
      </c>
      <c r="P183">
        <f t="shared" si="7"/>
        <v>7</v>
      </c>
      <c r="Q183" t="s">
        <v>737</v>
      </c>
      <c r="R183">
        <f t="shared" si="8"/>
        <v>1993</v>
      </c>
      <c r="S183" s="3">
        <v>34280</v>
      </c>
      <c r="T183" s="5" t="s">
        <v>927</v>
      </c>
    </row>
    <row r="184" spans="1:20" x14ac:dyDescent="0.25">
      <c r="A184" t="s">
        <v>192</v>
      </c>
      <c r="B184" t="s">
        <v>217</v>
      </c>
      <c r="C184" t="s">
        <v>400</v>
      </c>
      <c r="D184" t="s">
        <v>434</v>
      </c>
      <c r="E184" t="s">
        <v>615</v>
      </c>
      <c r="F184" t="s">
        <v>666</v>
      </c>
      <c r="G184" t="s">
        <v>716</v>
      </c>
      <c r="H184" t="s">
        <v>727</v>
      </c>
      <c r="I184" t="s">
        <v>735</v>
      </c>
      <c r="J184" t="s">
        <v>736</v>
      </c>
      <c r="K184" s="2">
        <v>32871</v>
      </c>
      <c r="L184" s="2">
        <v>32871</v>
      </c>
      <c r="M184" s="2" t="s">
        <v>854</v>
      </c>
      <c r="N184">
        <f t="shared" si="6"/>
        <v>29</v>
      </c>
      <c r="O184" t="s">
        <v>737</v>
      </c>
      <c r="P184">
        <f t="shared" si="7"/>
        <v>12</v>
      </c>
      <c r="Q184" t="s">
        <v>737</v>
      </c>
      <c r="R184">
        <f t="shared" si="8"/>
        <v>1989</v>
      </c>
      <c r="S184" t="s">
        <v>839</v>
      </c>
      <c r="T184" s="5" t="s">
        <v>839</v>
      </c>
    </row>
    <row r="185" spans="1:20" x14ac:dyDescent="0.25">
      <c r="A185" t="s">
        <v>193</v>
      </c>
      <c r="B185" t="s">
        <v>217</v>
      </c>
      <c r="C185" t="s">
        <v>401</v>
      </c>
      <c r="D185" t="s">
        <v>595</v>
      </c>
      <c r="E185" t="s">
        <v>633</v>
      </c>
      <c r="F185" t="s">
        <v>684</v>
      </c>
      <c r="G185" t="s">
        <v>715</v>
      </c>
      <c r="H185" t="s">
        <v>726</v>
      </c>
      <c r="I185" t="s">
        <v>735</v>
      </c>
      <c r="J185" t="s">
        <v>736</v>
      </c>
      <c r="K185" s="2">
        <v>30005</v>
      </c>
      <c r="L185" s="2">
        <v>30005</v>
      </c>
      <c r="M185" s="2" t="s">
        <v>854</v>
      </c>
      <c r="N185">
        <f t="shared" si="6"/>
        <v>23</v>
      </c>
      <c r="O185" t="s">
        <v>737</v>
      </c>
      <c r="P185">
        <f t="shared" si="7"/>
        <v>2</v>
      </c>
      <c r="Q185" t="s">
        <v>737</v>
      </c>
      <c r="R185">
        <f t="shared" si="8"/>
        <v>1982</v>
      </c>
      <c r="S185" t="s">
        <v>840</v>
      </c>
      <c r="T185" s="5" t="s">
        <v>840</v>
      </c>
    </row>
    <row r="186" spans="1:20" x14ac:dyDescent="0.25">
      <c r="A186" t="s">
        <v>194</v>
      </c>
      <c r="B186" t="s">
        <v>217</v>
      </c>
      <c r="C186" t="s">
        <v>402</v>
      </c>
      <c r="D186" t="s">
        <v>596</v>
      </c>
      <c r="E186" t="s">
        <v>643</v>
      </c>
      <c r="F186" t="s">
        <v>694</v>
      </c>
      <c r="G186" t="s">
        <v>718</v>
      </c>
      <c r="H186" t="s">
        <v>729</v>
      </c>
      <c r="I186" t="s">
        <v>735</v>
      </c>
      <c r="J186" t="s">
        <v>736</v>
      </c>
      <c r="K186" s="2">
        <v>32336</v>
      </c>
      <c r="L186" s="2">
        <v>32336</v>
      </c>
      <c r="M186" s="2" t="s">
        <v>854</v>
      </c>
      <c r="N186">
        <f t="shared" si="6"/>
        <v>12</v>
      </c>
      <c r="O186" t="s">
        <v>737</v>
      </c>
      <c r="P186">
        <f t="shared" si="7"/>
        <v>7</v>
      </c>
      <c r="Q186" t="s">
        <v>737</v>
      </c>
      <c r="R186">
        <f t="shared" si="8"/>
        <v>1988</v>
      </c>
      <c r="S186" s="3">
        <v>32484</v>
      </c>
      <c r="T186" s="5" t="s">
        <v>928</v>
      </c>
    </row>
    <row r="187" spans="1:20" x14ac:dyDescent="0.25">
      <c r="A187" t="s">
        <v>195</v>
      </c>
      <c r="B187" t="s">
        <v>217</v>
      </c>
      <c r="C187" t="s">
        <v>403</v>
      </c>
      <c r="D187" t="s">
        <v>530</v>
      </c>
      <c r="E187" t="s">
        <v>641</v>
      </c>
      <c r="F187" t="s">
        <v>692</v>
      </c>
      <c r="G187" t="s">
        <v>718</v>
      </c>
      <c r="H187" t="s">
        <v>729</v>
      </c>
      <c r="I187" t="s">
        <v>735</v>
      </c>
      <c r="J187" t="s">
        <v>736</v>
      </c>
      <c r="K187" s="2">
        <v>29860</v>
      </c>
      <c r="L187" s="2">
        <v>29860</v>
      </c>
      <c r="M187" s="2" t="s">
        <v>854</v>
      </c>
      <c r="N187">
        <f t="shared" si="6"/>
        <v>1</v>
      </c>
      <c r="O187" t="s">
        <v>737</v>
      </c>
      <c r="P187">
        <f t="shared" si="7"/>
        <v>10</v>
      </c>
      <c r="Q187" t="s">
        <v>737</v>
      </c>
      <c r="R187">
        <f t="shared" si="8"/>
        <v>1981</v>
      </c>
      <c r="S187" s="3">
        <v>29596</v>
      </c>
      <c r="T187" s="5" t="s">
        <v>929</v>
      </c>
    </row>
    <row r="188" spans="1:20" x14ac:dyDescent="0.25">
      <c r="A188" t="s">
        <v>196</v>
      </c>
      <c r="B188" t="s">
        <v>217</v>
      </c>
      <c r="C188" t="s">
        <v>404</v>
      </c>
      <c r="D188" t="s">
        <v>597</v>
      </c>
      <c r="E188" t="s">
        <v>611</v>
      </c>
      <c r="F188" t="s">
        <v>662</v>
      </c>
      <c r="G188" t="s">
        <v>714</v>
      </c>
      <c r="H188" t="s">
        <v>725</v>
      </c>
      <c r="I188" t="s">
        <v>735</v>
      </c>
      <c r="J188" t="s">
        <v>736</v>
      </c>
      <c r="K188" s="2">
        <v>35221</v>
      </c>
      <c r="L188" s="2">
        <v>35221</v>
      </c>
      <c r="M188" s="2" t="s">
        <v>854</v>
      </c>
      <c r="N188">
        <f t="shared" si="6"/>
        <v>5</v>
      </c>
      <c r="O188" t="s">
        <v>737</v>
      </c>
      <c r="P188">
        <f t="shared" si="7"/>
        <v>6</v>
      </c>
      <c r="Q188" t="s">
        <v>737</v>
      </c>
      <c r="R188">
        <f t="shared" si="8"/>
        <v>1996</v>
      </c>
      <c r="S188" s="3">
        <v>35191</v>
      </c>
      <c r="T188" s="5" t="s">
        <v>930</v>
      </c>
    </row>
    <row r="189" spans="1:20" x14ac:dyDescent="0.25">
      <c r="A189" t="s">
        <v>197</v>
      </c>
      <c r="B189" t="s">
        <v>217</v>
      </c>
      <c r="C189" t="s">
        <v>405</v>
      </c>
      <c r="D189" t="s">
        <v>598</v>
      </c>
      <c r="E189" t="s">
        <v>659</v>
      </c>
      <c r="F189" t="s">
        <v>711</v>
      </c>
      <c r="G189" t="s">
        <v>714</v>
      </c>
      <c r="H189" t="s">
        <v>725</v>
      </c>
      <c r="I189" t="s">
        <v>735</v>
      </c>
      <c r="J189" t="s">
        <v>736</v>
      </c>
      <c r="K189" s="2">
        <v>32705</v>
      </c>
      <c r="L189" s="2">
        <v>32705</v>
      </c>
      <c r="M189" s="2" t="s">
        <v>854</v>
      </c>
      <c r="N189">
        <f t="shared" si="6"/>
        <v>16</v>
      </c>
      <c r="O189" t="s">
        <v>737</v>
      </c>
      <c r="P189">
        <f t="shared" si="7"/>
        <v>7</v>
      </c>
      <c r="Q189" t="s">
        <v>737</v>
      </c>
      <c r="R189">
        <f t="shared" si="8"/>
        <v>1989</v>
      </c>
      <c r="S189" t="s">
        <v>841</v>
      </c>
      <c r="T189" s="5" t="s">
        <v>841</v>
      </c>
    </row>
    <row r="190" spans="1:20" x14ac:dyDescent="0.25">
      <c r="A190" t="s">
        <v>198</v>
      </c>
      <c r="B190" t="s">
        <v>217</v>
      </c>
      <c r="C190" t="s">
        <v>406</v>
      </c>
      <c r="D190" t="s">
        <v>599</v>
      </c>
      <c r="E190" t="s">
        <v>625</v>
      </c>
      <c r="F190" t="s">
        <v>676</v>
      </c>
      <c r="G190" t="s">
        <v>720</v>
      </c>
      <c r="H190" t="s">
        <v>731</v>
      </c>
      <c r="I190" t="s">
        <v>735</v>
      </c>
      <c r="J190" t="s">
        <v>736</v>
      </c>
      <c r="K190" s="2">
        <v>31597</v>
      </c>
      <c r="L190" s="2">
        <v>31597</v>
      </c>
      <c r="M190" s="2" t="s">
        <v>854</v>
      </c>
      <c r="N190">
        <f t="shared" si="6"/>
        <v>4</v>
      </c>
      <c r="O190" t="s">
        <v>737</v>
      </c>
      <c r="P190">
        <f t="shared" si="7"/>
        <v>7</v>
      </c>
      <c r="Q190" t="s">
        <v>737</v>
      </c>
      <c r="R190">
        <f t="shared" si="8"/>
        <v>1986</v>
      </c>
      <c r="S190" s="3">
        <v>31509</v>
      </c>
      <c r="T190" s="5" t="s">
        <v>931</v>
      </c>
    </row>
    <row r="191" spans="1:20" x14ac:dyDescent="0.25">
      <c r="A191" t="s">
        <v>199</v>
      </c>
      <c r="B191" t="s">
        <v>217</v>
      </c>
      <c r="C191" t="s">
        <v>407</v>
      </c>
      <c r="D191" t="s">
        <v>600</v>
      </c>
      <c r="E191" t="s">
        <v>621</v>
      </c>
      <c r="F191" t="s">
        <v>672</v>
      </c>
      <c r="G191" t="s">
        <v>718</v>
      </c>
      <c r="H191" t="s">
        <v>729</v>
      </c>
      <c r="I191" t="s">
        <v>735</v>
      </c>
      <c r="J191" t="s">
        <v>736</v>
      </c>
      <c r="K191" s="2">
        <v>32783</v>
      </c>
      <c r="L191" s="2">
        <v>32783</v>
      </c>
      <c r="M191" s="2" t="s">
        <v>854</v>
      </c>
      <c r="N191">
        <f t="shared" si="6"/>
        <v>2</v>
      </c>
      <c r="O191" t="s">
        <v>737</v>
      </c>
      <c r="P191">
        <f t="shared" si="7"/>
        <v>10</v>
      </c>
      <c r="Q191" t="s">
        <v>737</v>
      </c>
      <c r="R191">
        <f t="shared" si="8"/>
        <v>1989</v>
      </c>
      <c r="S191" s="3">
        <v>32549</v>
      </c>
      <c r="T191" s="5" t="s">
        <v>932</v>
      </c>
    </row>
    <row r="192" spans="1:20" x14ac:dyDescent="0.25">
      <c r="A192" t="s">
        <v>200</v>
      </c>
      <c r="B192" t="s">
        <v>217</v>
      </c>
      <c r="C192" t="s">
        <v>408</v>
      </c>
      <c r="D192" t="s">
        <v>547</v>
      </c>
      <c r="E192" t="s">
        <v>649</v>
      </c>
      <c r="F192" t="s">
        <v>700</v>
      </c>
      <c r="G192" t="s">
        <v>714</v>
      </c>
      <c r="H192" t="s">
        <v>725</v>
      </c>
      <c r="I192" t="s">
        <v>735</v>
      </c>
      <c r="J192" t="s">
        <v>736</v>
      </c>
      <c r="K192" s="2">
        <v>30709</v>
      </c>
      <c r="L192" s="2">
        <v>30709</v>
      </c>
      <c r="M192" s="2" t="s">
        <v>854</v>
      </c>
      <c r="N192">
        <f t="shared" si="6"/>
        <v>28</v>
      </c>
      <c r="O192" t="s">
        <v>737</v>
      </c>
      <c r="P192">
        <f t="shared" si="7"/>
        <v>1</v>
      </c>
      <c r="Q192" t="s">
        <v>737</v>
      </c>
      <c r="R192">
        <f t="shared" si="8"/>
        <v>1984</v>
      </c>
      <c r="S192" t="s">
        <v>742</v>
      </c>
      <c r="T192" s="5" t="s">
        <v>742</v>
      </c>
    </row>
    <row r="193" spans="1:20" x14ac:dyDescent="0.25">
      <c r="A193" t="s">
        <v>201</v>
      </c>
      <c r="B193" t="s">
        <v>217</v>
      </c>
      <c r="C193" t="s">
        <v>409</v>
      </c>
      <c r="D193" t="s">
        <v>601</v>
      </c>
      <c r="G193" t="s">
        <v>717</v>
      </c>
      <c r="H193" t="s">
        <v>728</v>
      </c>
      <c r="I193" t="s">
        <v>735</v>
      </c>
      <c r="J193" t="s">
        <v>736</v>
      </c>
      <c r="K193" s="2">
        <v>33893</v>
      </c>
      <c r="L193" s="2">
        <v>33893</v>
      </c>
      <c r="M193" s="2" t="s">
        <v>854</v>
      </c>
      <c r="N193">
        <f t="shared" si="6"/>
        <v>16</v>
      </c>
      <c r="O193" t="s">
        <v>737</v>
      </c>
      <c r="P193">
        <f t="shared" si="7"/>
        <v>10</v>
      </c>
      <c r="Q193" t="s">
        <v>737</v>
      </c>
      <c r="R193">
        <f t="shared" si="8"/>
        <v>1992</v>
      </c>
      <c r="S193" t="s">
        <v>842</v>
      </c>
      <c r="T193" s="5" t="s">
        <v>842</v>
      </c>
    </row>
    <row r="194" spans="1:20" x14ac:dyDescent="0.25">
      <c r="A194" t="s">
        <v>202</v>
      </c>
      <c r="B194" t="s">
        <v>217</v>
      </c>
      <c r="C194" t="s">
        <v>410</v>
      </c>
      <c r="D194" t="s">
        <v>602</v>
      </c>
      <c r="E194" t="s">
        <v>619</v>
      </c>
      <c r="F194" t="s">
        <v>670</v>
      </c>
      <c r="G194" t="s">
        <v>717</v>
      </c>
      <c r="H194" t="s">
        <v>728</v>
      </c>
      <c r="I194" t="s">
        <v>735</v>
      </c>
      <c r="J194" t="s">
        <v>736</v>
      </c>
      <c r="K194" s="2">
        <v>30541</v>
      </c>
      <c r="L194" s="2">
        <v>30541</v>
      </c>
      <c r="M194" s="2" t="s">
        <v>854</v>
      </c>
      <c r="N194">
        <f t="shared" si="6"/>
        <v>13</v>
      </c>
      <c r="O194" t="s">
        <v>737</v>
      </c>
      <c r="P194">
        <f t="shared" si="7"/>
        <v>8</v>
      </c>
      <c r="Q194" t="s">
        <v>737</v>
      </c>
      <c r="R194">
        <f t="shared" si="8"/>
        <v>1983</v>
      </c>
      <c r="S194" t="s">
        <v>843</v>
      </c>
      <c r="T194" s="5" t="s">
        <v>843</v>
      </c>
    </row>
    <row r="195" spans="1:20" x14ac:dyDescent="0.25">
      <c r="A195" t="s">
        <v>203</v>
      </c>
      <c r="B195" t="s">
        <v>217</v>
      </c>
      <c r="C195" t="s">
        <v>411</v>
      </c>
      <c r="D195" t="s">
        <v>555</v>
      </c>
      <c r="E195" t="s">
        <v>653</v>
      </c>
      <c r="F195" t="s">
        <v>705</v>
      </c>
      <c r="G195" t="s">
        <v>714</v>
      </c>
      <c r="H195" t="s">
        <v>725</v>
      </c>
      <c r="I195" t="s">
        <v>735</v>
      </c>
      <c r="J195" t="s">
        <v>736</v>
      </c>
      <c r="K195" s="2">
        <v>33191</v>
      </c>
      <c r="L195" s="2">
        <v>33191</v>
      </c>
      <c r="M195" s="2" t="s">
        <v>854</v>
      </c>
      <c r="N195">
        <f t="shared" ref="N195:N208" si="9">DAY(L195)</f>
        <v>14</v>
      </c>
      <c r="O195" t="s">
        <v>737</v>
      </c>
      <c r="P195">
        <f t="shared" ref="P195:P208" si="10">MONTH(L195)</f>
        <v>11</v>
      </c>
      <c r="Q195" t="s">
        <v>737</v>
      </c>
      <c r="R195">
        <f t="shared" ref="R195:R208" si="11">YEAR(L195)</f>
        <v>1990</v>
      </c>
      <c r="S195" t="s">
        <v>844</v>
      </c>
      <c r="T195" s="5" t="s">
        <v>844</v>
      </c>
    </row>
    <row r="196" spans="1:20" x14ac:dyDescent="0.25">
      <c r="A196" t="s">
        <v>204</v>
      </c>
      <c r="B196" t="s">
        <v>217</v>
      </c>
      <c r="C196" t="s">
        <v>412</v>
      </c>
      <c r="D196" t="s">
        <v>532</v>
      </c>
      <c r="E196" t="s">
        <v>637</v>
      </c>
      <c r="F196" t="s">
        <v>688</v>
      </c>
      <c r="G196" t="s">
        <v>719</v>
      </c>
      <c r="H196" t="s">
        <v>730</v>
      </c>
      <c r="I196" t="s">
        <v>735</v>
      </c>
      <c r="J196" t="s">
        <v>736</v>
      </c>
      <c r="K196" s="2">
        <v>24685</v>
      </c>
      <c r="L196" s="2">
        <v>24685</v>
      </c>
      <c r="M196" s="2" t="s">
        <v>854</v>
      </c>
      <c r="N196">
        <f t="shared" si="9"/>
        <v>1</v>
      </c>
      <c r="O196" t="s">
        <v>737</v>
      </c>
      <c r="P196">
        <f t="shared" si="10"/>
        <v>8</v>
      </c>
      <c r="Q196" t="s">
        <v>737</v>
      </c>
      <c r="R196">
        <f t="shared" si="11"/>
        <v>1967</v>
      </c>
      <c r="S196" s="3">
        <v>24480</v>
      </c>
      <c r="T196" s="5" t="s">
        <v>933</v>
      </c>
    </row>
    <row r="197" spans="1:20" x14ac:dyDescent="0.25">
      <c r="A197" t="s">
        <v>205</v>
      </c>
      <c r="B197" t="s">
        <v>217</v>
      </c>
      <c r="C197" t="s">
        <v>413</v>
      </c>
      <c r="D197" t="s">
        <v>603</v>
      </c>
      <c r="E197" t="s">
        <v>612</v>
      </c>
      <c r="F197" t="s">
        <v>663</v>
      </c>
      <c r="G197" t="s">
        <v>715</v>
      </c>
      <c r="H197" t="s">
        <v>726</v>
      </c>
      <c r="I197" t="s">
        <v>735</v>
      </c>
      <c r="J197" t="s">
        <v>736</v>
      </c>
      <c r="K197" s="2">
        <v>27193</v>
      </c>
      <c r="L197" s="2">
        <v>27193</v>
      </c>
      <c r="M197" s="2" t="s">
        <v>854</v>
      </c>
      <c r="N197">
        <f t="shared" si="9"/>
        <v>13</v>
      </c>
      <c r="O197" t="s">
        <v>737</v>
      </c>
      <c r="P197">
        <f t="shared" si="10"/>
        <v>6</v>
      </c>
      <c r="Q197" t="s">
        <v>737</v>
      </c>
      <c r="R197">
        <f t="shared" si="11"/>
        <v>1974</v>
      </c>
      <c r="S197" t="s">
        <v>845</v>
      </c>
      <c r="T197" s="5" t="s">
        <v>845</v>
      </c>
    </row>
    <row r="198" spans="1:20" x14ac:dyDescent="0.25">
      <c r="A198" t="s">
        <v>206</v>
      </c>
      <c r="B198" t="s">
        <v>217</v>
      </c>
      <c r="C198" t="s">
        <v>414</v>
      </c>
      <c r="D198" t="s">
        <v>604</v>
      </c>
      <c r="E198" t="s">
        <v>627</v>
      </c>
      <c r="F198" t="s">
        <v>678</v>
      </c>
      <c r="G198" t="s">
        <v>721</v>
      </c>
      <c r="H198" t="s">
        <v>732</v>
      </c>
      <c r="I198" t="s">
        <v>735</v>
      </c>
      <c r="J198" t="s">
        <v>736</v>
      </c>
      <c r="K198" s="2">
        <v>29024</v>
      </c>
      <c r="L198" s="2">
        <v>29024</v>
      </c>
      <c r="M198" s="2" t="s">
        <v>854</v>
      </c>
      <c r="N198">
        <f t="shared" si="9"/>
        <v>18</v>
      </c>
      <c r="O198" t="s">
        <v>737</v>
      </c>
      <c r="P198">
        <f t="shared" si="10"/>
        <v>6</v>
      </c>
      <c r="Q198" t="s">
        <v>737</v>
      </c>
      <c r="R198">
        <f t="shared" si="11"/>
        <v>1979</v>
      </c>
      <c r="S198" t="s">
        <v>846</v>
      </c>
      <c r="T198" s="5" t="s">
        <v>846</v>
      </c>
    </row>
    <row r="199" spans="1:20" x14ac:dyDescent="0.25">
      <c r="A199" t="s">
        <v>207</v>
      </c>
      <c r="B199" t="s">
        <v>217</v>
      </c>
      <c r="C199" t="s">
        <v>415</v>
      </c>
      <c r="D199" t="s">
        <v>564</v>
      </c>
      <c r="E199" t="s">
        <v>643</v>
      </c>
      <c r="F199" t="s">
        <v>694</v>
      </c>
      <c r="G199" t="s">
        <v>718</v>
      </c>
      <c r="H199" t="s">
        <v>729</v>
      </c>
      <c r="I199" t="s">
        <v>735</v>
      </c>
      <c r="J199" t="s">
        <v>736</v>
      </c>
      <c r="K199" s="2">
        <v>34435</v>
      </c>
      <c r="L199" s="2">
        <v>34435</v>
      </c>
      <c r="M199" s="2" t="s">
        <v>854</v>
      </c>
      <c r="N199">
        <f t="shared" si="9"/>
        <v>11</v>
      </c>
      <c r="O199" t="s">
        <v>737</v>
      </c>
      <c r="P199">
        <f t="shared" si="10"/>
        <v>4</v>
      </c>
      <c r="Q199" t="s">
        <v>737</v>
      </c>
      <c r="R199">
        <f t="shared" si="11"/>
        <v>1994</v>
      </c>
      <c r="S199" s="3">
        <v>34642</v>
      </c>
      <c r="T199" s="5" t="s">
        <v>934</v>
      </c>
    </row>
    <row r="200" spans="1:20" x14ac:dyDescent="0.25">
      <c r="A200" t="s">
        <v>208</v>
      </c>
      <c r="B200" t="s">
        <v>217</v>
      </c>
      <c r="C200" t="s">
        <v>416</v>
      </c>
      <c r="D200" t="s">
        <v>530</v>
      </c>
      <c r="E200" t="s">
        <v>641</v>
      </c>
      <c r="F200" t="s">
        <v>692</v>
      </c>
      <c r="G200" t="s">
        <v>718</v>
      </c>
      <c r="H200" t="s">
        <v>729</v>
      </c>
      <c r="I200" t="s">
        <v>735</v>
      </c>
      <c r="J200" t="s">
        <v>736</v>
      </c>
      <c r="K200" s="2">
        <v>35541</v>
      </c>
      <c r="L200" s="2">
        <v>35541</v>
      </c>
      <c r="M200" s="2" t="s">
        <v>854</v>
      </c>
      <c r="N200">
        <f t="shared" si="9"/>
        <v>21</v>
      </c>
      <c r="O200" t="s">
        <v>737</v>
      </c>
      <c r="P200">
        <f t="shared" si="10"/>
        <v>4</v>
      </c>
      <c r="Q200" t="s">
        <v>737</v>
      </c>
      <c r="R200">
        <f t="shared" si="11"/>
        <v>1997</v>
      </c>
      <c r="S200" t="s">
        <v>847</v>
      </c>
      <c r="T200" s="5" t="s">
        <v>847</v>
      </c>
    </row>
    <row r="201" spans="1:20" x14ac:dyDescent="0.25">
      <c r="A201" t="s">
        <v>209</v>
      </c>
      <c r="B201" t="s">
        <v>217</v>
      </c>
      <c r="C201" t="s">
        <v>417</v>
      </c>
      <c r="D201" t="s">
        <v>605</v>
      </c>
      <c r="E201" t="s">
        <v>635</v>
      </c>
      <c r="F201" t="s">
        <v>686</v>
      </c>
      <c r="G201" t="s">
        <v>717</v>
      </c>
      <c r="H201" t="s">
        <v>728</v>
      </c>
      <c r="I201" t="s">
        <v>735</v>
      </c>
      <c r="J201" t="s">
        <v>736</v>
      </c>
      <c r="K201" s="2">
        <v>28355</v>
      </c>
      <c r="L201" s="2">
        <v>28355</v>
      </c>
      <c r="M201" s="2" t="s">
        <v>854</v>
      </c>
      <c r="N201">
        <f t="shared" si="9"/>
        <v>18</v>
      </c>
      <c r="O201" t="s">
        <v>737</v>
      </c>
      <c r="P201">
        <f t="shared" si="10"/>
        <v>8</v>
      </c>
      <c r="Q201" t="s">
        <v>737</v>
      </c>
      <c r="R201">
        <f t="shared" si="11"/>
        <v>1977</v>
      </c>
      <c r="S201" t="s">
        <v>848</v>
      </c>
      <c r="T201" s="5" t="s">
        <v>848</v>
      </c>
    </row>
    <row r="202" spans="1:20" x14ac:dyDescent="0.25">
      <c r="A202" t="s">
        <v>210</v>
      </c>
      <c r="B202" t="s">
        <v>217</v>
      </c>
      <c r="C202" t="s">
        <v>418</v>
      </c>
      <c r="D202" t="s">
        <v>590</v>
      </c>
      <c r="E202" t="s">
        <v>629</v>
      </c>
      <c r="F202" t="s">
        <v>680</v>
      </c>
      <c r="G202" t="s">
        <v>718</v>
      </c>
      <c r="H202" t="s">
        <v>729</v>
      </c>
      <c r="I202" t="s">
        <v>735</v>
      </c>
      <c r="J202" t="s">
        <v>736</v>
      </c>
      <c r="K202" s="2">
        <v>31276</v>
      </c>
      <c r="L202" s="2">
        <v>31276</v>
      </c>
      <c r="M202" s="2" t="s">
        <v>854</v>
      </c>
      <c r="N202">
        <f t="shared" si="9"/>
        <v>17</v>
      </c>
      <c r="O202" t="s">
        <v>737</v>
      </c>
      <c r="P202">
        <f t="shared" si="10"/>
        <v>8</v>
      </c>
      <c r="Q202" t="s">
        <v>737</v>
      </c>
      <c r="R202">
        <f t="shared" si="11"/>
        <v>1985</v>
      </c>
      <c r="S202" t="s">
        <v>849</v>
      </c>
      <c r="T202" s="5" t="s">
        <v>849</v>
      </c>
    </row>
    <row r="203" spans="1:20" x14ac:dyDescent="0.25">
      <c r="A203" t="s">
        <v>211</v>
      </c>
      <c r="B203" t="s">
        <v>217</v>
      </c>
      <c r="C203" t="s">
        <v>419</v>
      </c>
      <c r="D203" t="s">
        <v>606</v>
      </c>
      <c r="E203" t="s">
        <v>624</v>
      </c>
      <c r="F203" t="s">
        <v>675</v>
      </c>
      <c r="G203" t="s">
        <v>720</v>
      </c>
      <c r="H203" t="s">
        <v>731</v>
      </c>
      <c r="I203" t="s">
        <v>735</v>
      </c>
      <c r="J203" t="s">
        <v>736</v>
      </c>
      <c r="K203" s="2">
        <v>30795</v>
      </c>
      <c r="L203" s="2">
        <v>30795</v>
      </c>
      <c r="M203" s="2" t="s">
        <v>854</v>
      </c>
      <c r="N203">
        <f t="shared" si="9"/>
        <v>23</v>
      </c>
      <c r="O203" t="s">
        <v>737</v>
      </c>
      <c r="P203">
        <f t="shared" si="10"/>
        <v>4</v>
      </c>
      <c r="Q203" t="s">
        <v>737</v>
      </c>
      <c r="R203">
        <f t="shared" si="11"/>
        <v>1984</v>
      </c>
      <c r="S203" t="s">
        <v>850</v>
      </c>
      <c r="T203" s="5" t="s">
        <v>850</v>
      </c>
    </row>
    <row r="204" spans="1:20" x14ac:dyDescent="0.25">
      <c r="A204" t="s">
        <v>212</v>
      </c>
      <c r="B204" t="s">
        <v>217</v>
      </c>
      <c r="C204" t="s">
        <v>420</v>
      </c>
      <c r="D204" t="s">
        <v>607</v>
      </c>
      <c r="E204" t="s">
        <v>619</v>
      </c>
      <c r="F204" t="s">
        <v>670</v>
      </c>
      <c r="G204" t="s">
        <v>717</v>
      </c>
      <c r="H204" t="s">
        <v>728</v>
      </c>
      <c r="I204" t="s">
        <v>735</v>
      </c>
      <c r="J204" t="s">
        <v>736</v>
      </c>
      <c r="K204" s="2">
        <v>29859</v>
      </c>
      <c r="L204" s="2">
        <v>29859</v>
      </c>
      <c r="M204" s="2" t="s">
        <v>854</v>
      </c>
      <c r="N204">
        <f t="shared" si="9"/>
        <v>30</v>
      </c>
      <c r="O204" t="s">
        <v>737</v>
      </c>
      <c r="P204">
        <f t="shared" si="10"/>
        <v>9</v>
      </c>
      <c r="Q204" t="s">
        <v>737</v>
      </c>
      <c r="R204">
        <f t="shared" si="11"/>
        <v>1981</v>
      </c>
      <c r="S204" t="s">
        <v>851</v>
      </c>
      <c r="T204" s="5" t="s">
        <v>851</v>
      </c>
    </row>
    <row r="205" spans="1:20" x14ac:dyDescent="0.25">
      <c r="A205" t="s">
        <v>213</v>
      </c>
      <c r="B205" t="s">
        <v>217</v>
      </c>
      <c r="C205" t="s">
        <v>421</v>
      </c>
      <c r="D205" t="s">
        <v>608</v>
      </c>
      <c r="E205" t="s">
        <v>654</v>
      </c>
      <c r="F205" t="s">
        <v>706</v>
      </c>
      <c r="G205" t="s">
        <v>720</v>
      </c>
      <c r="H205" t="s">
        <v>731</v>
      </c>
      <c r="I205" t="s">
        <v>735</v>
      </c>
      <c r="J205" t="s">
        <v>736</v>
      </c>
      <c r="K205" s="2">
        <v>31100</v>
      </c>
      <c r="L205" s="2">
        <v>31100</v>
      </c>
      <c r="M205" s="2" t="s">
        <v>854</v>
      </c>
      <c r="N205">
        <f t="shared" si="9"/>
        <v>22</v>
      </c>
      <c r="O205" t="s">
        <v>737</v>
      </c>
      <c r="P205">
        <f t="shared" si="10"/>
        <v>2</v>
      </c>
      <c r="Q205" t="s">
        <v>737</v>
      </c>
      <c r="R205">
        <f t="shared" si="11"/>
        <v>1985</v>
      </c>
      <c r="S205" t="s">
        <v>852</v>
      </c>
      <c r="T205" s="5" t="s">
        <v>852</v>
      </c>
    </row>
    <row r="206" spans="1:20" x14ac:dyDescent="0.25">
      <c r="A206" t="s">
        <v>214</v>
      </c>
      <c r="B206" t="s">
        <v>217</v>
      </c>
      <c r="C206" t="s">
        <v>422</v>
      </c>
      <c r="D206" t="s">
        <v>609</v>
      </c>
      <c r="E206" t="s">
        <v>660</v>
      </c>
      <c r="F206" t="s">
        <v>712</v>
      </c>
      <c r="G206" t="s">
        <v>722</v>
      </c>
      <c r="H206" t="s">
        <v>733</v>
      </c>
      <c r="I206" t="s">
        <v>735</v>
      </c>
      <c r="J206" t="s">
        <v>736</v>
      </c>
      <c r="M206" s="2" t="s">
        <v>854</v>
      </c>
      <c r="N206">
        <f t="shared" si="9"/>
        <v>0</v>
      </c>
      <c r="O206" t="s">
        <v>737</v>
      </c>
      <c r="P206">
        <f t="shared" si="10"/>
        <v>1</v>
      </c>
      <c r="Q206" t="s">
        <v>737</v>
      </c>
      <c r="R206">
        <f t="shared" si="11"/>
        <v>1900</v>
      </c>
      <c r="S206" t="s">
        <v>767</v>
      </c>
      <c r="T206" s="5" t="s">
        <v>767</v>
      </c>
    </row>
    <row r="207" spans="1:20" x14ac:dyDescent="0.25">
      <c r="A207" t="s">
        <v>215</v>
      </c>
      <c r="B207" t="s">
        <v>217</v>
      </c>
      <c r="C207" t="s">
        <v>423</v>
      </c>
      <c r="D207" t="s">
        <v>434</v>
      </c>
      <c r="E207" t="s">
        <v>634</v>
      </c>
      <c r="F207" t="s">
        <v>685</v>
      </c>
      <c r="G207" t="s">
        <v>723</v>
      </c>
      <c r="H207" t="s">
        <v>734</v>
      </c>
      <c r="I207" t="s">
        <v>735</v>
      </c>
      <c r="J207" t="s">
        <v>736</v>
      </c>
      <c r="K207" s="2">
        <v>24234</v>
      </c>
      <c r="L207" s="2">
        <v>24234</v>
      </c>
      <c r="M207" s="2" t="s">
        <v>854</v>
      </c>
      <c r="N207">
        <f t="shared" si="9"/>
        <v>7</v>
      </c>
      <c r="O207" t="s">
        <v>737</v>
      </c>
      <c r="P207">
        <f t="shared" si="10"/>
        <v>5</v>
      </c>
      <c r="Q207" t="s">
        <v>737</v>
      </c>
      <c r="R207">
        <f t="shared" si="11"/>
        <v>1966</v>
      </c>
      <c r="S207" s="3">
        <v>24293</v>
      </c>
      <c r="T207" s="5" t="s">
        <v>935</v>
      </c>
    </row>
    <row r="208" spans="1:20" x14ac:dyDescent="0.25">
      <c r="A208" t="s">
        <v>216</v>
      </c>
      <c r="B208" t="s">
        <v>217</v>
      </c>
      <c r="C208" t="s">
        <v>424</v>
      </c>
      <c r="D208" t="s">
        <v>434</v>
      </c>
      <c r="E208" t="s">
        <v>644</v>
      </c>
      <c r="F208" t="s">
        <v>695</v>
      </c>
      <c r="G208" t="s">
        <v>722</v>
      </c>
      <c r="H208" t="s">
        <v>733</v>
      </c>
      <c r="I208" t="s">
        <v>735</v>
      </c>
      <c r="J208" t="s">
        <v>736</v>
      </c>
      <c r="K208" s="2">
        <v>28905</v>
      </c>
      <c r="L208" s="2">
        <v>28905</v>
      </c>
      <c r="M208" s="2" t="s">
        <v>854</v>
      </c>
      <c r="N208">
        <f t="shared" si="9"/>
        <v>19</v>
      </c>
      <c r="O208" t="s">
        <v>737</v>
      </c>
      <c r="P208">
        <f t="shared" si="10"/>
        <v>2</v>
      </c>
      <c r="Q208" t="s">
        <v>737</v>
      </c>
      <c r="R208">
        <f t="shared" si="11"/>
        <v>1979</v>
      </c>
      <c r="S208" t="s">
        <v>853</v>
      </c>
      <c r="T208" s="5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2025-03-26T08:36:31Z</dcterms:created>
  <dcterms:modified xsi:type="dcterms:W3CDTF">2025-03-26T09:32:56Z</dcterms:modified>
</cp:coreProperties>
</file>