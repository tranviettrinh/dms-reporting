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bipha\Python\abipha_dms\nhan_su\MB\QLMB05\"/>
    </mc:Choice>
  </mc:AlternateContent>
  <xr:revisionPtr revIDLastSave="0" documentId="13_ncr:1_{CBB335BE-71E8-45ED-9C0A-422F1F4D1D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2" i="1"/>
</calcChain>
</file>

<file path=xl/sharedStrings.xml><?xml version="1.0" encoding="utf-8"?>
<sst xmlns="http://schemas.openxmlformats.org/spreadsheetml/2006/main" count="609" uniqueCount="244">
  <si>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</si>
  <si>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</si>
  <si>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</si>
  <si>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</si>
  <si>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</si>
  <si>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</si>
  <si>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</si>
  <si>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</si>
  <si>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</si>
  <si>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</si>
  <si>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</si>
  <si>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LƯƠNG SƠN</t>
  </si>
  <si>
    <t>NT ANH TÚ</t>
  </si>
  <si>
    <t>NT BỆNH VIỆN HÒA BÌNH</t>
  </si>
  <si>
    <t>NT CHÚC DẦN</t>
  </si>
  <si>
    <t>NT ĐỨC KIÊN</t>
  </si>
  <si>
    <t>NT HẢI HOA</t>
  </si>
  <si>
    <t>NT LÊ TRẦN NHÃ</t>
  </si>
  <si>
    <t>NT MỸ DUYÊN</t>
  </si>
  <si>
    <t>NT QUỲNH ANH</t>
  </si>
  <si>
    <t>NT TÂM AN (CAO PHONG)</t>
  </si>
  <si>
    <t>NT THANH NHÀN</t>
  </si>
  <si>
    <t>NT THÔNG THÁI</t>
  </si>
  <si>
    <t>NT THU THẢO</t>
  </si>
  <si>
    <t>NT THÙY DƯƠNG</t>
  </si>
  <si>
    <t>NT TRẦN THỊ THU</t>
  </si>
  <si>
    <t>NT TRẦN THUỶ</t>
  </si>
  <si>
    <t>QT 11 HÀ THỊ LIÊN</t>
  </si>
  <si>
    <t>QT 12 VŨ NGỌC NGÂN</t>
  </si>
  <si>
    <t>QT 13 BÙI THỊ HƯỚNG</t>
  </si>
  <si>
    <t>QT 15 NGUYỄN HUYỀN TRANG</t>
  </si>
  <si>
    <t>QT 15 THẮNG THỰC</t>
  </si>
  <si>
    <t>QT 17 LÊ THỊ HƯỜNG</t>
  </si>
  <si>
    <t>QT 18 DƯƠNG THỊ THU</t>
  </si>
  <si>
    <t>QT 1 NGUYỄN THỊ THỦY</t>
  </si>
  <si>
    <t>QT 28 BÙI THỊ THẢO</t>
  </si>
  <si>
    <t>QT 2 NGUYỄN THỊ TUYẾN</t>
  </si>
  <si>
    <t>QT 3 NGUYỄN THỊ HUẤN</t>
  </si>
  <si>
    <t>QT 5 NGUYỄN THỊ HIỀN</t>
  </si>
  <si>
    <t>QT 6 NGUYỄN THỊ HIỀN</t>
  </si>
  <si>
    <t>QT 6 NGUYỄN THỊ HUẾ</t>
  </si>
  <si>
    <t>QT 7 KIM BÔI</t>
  </si>
  <si>
    <t>QT 8 VŨ TUYẾT MAI</t>
  </si>
  <si>
    <t>QT 9 VŨ THỊ LOAN</t>
  </si>
  <si>
    <t>QT BÌNH THÁI</t>
  </si>
  <si>
    <t>QT CHINH LÀ</t>
  </si>
  <si>
    <t>QT ĐÀO VƯỢNG</t>
  </si>
  <si>
    <t>QT ĐINH THỊ THƯƠNG</t>
  </si>
  <si>
    <t>QT ĐỨC ANH</t>
  </si>
  <si>
    <t>QT HÀ BEN</t>
  </si>
  <si>
    <t>QT HẢI BÌNH</t>
  </si>
  <si>
    <t>QT HÀ LINH (LƯƠNG SƠN)</t>
  </si>
  <si>
    <t>QT HÀ LINH (MAI CHÂU)</t>
  </si>
  <si>
    <t>QT HOÀNG KHẮC HOẠCH</t>
  </si>
  <si>
    <t>QT HOÀNG THỊ KIM DUNG</t>
  </si>
  <si>
    <t>QT HỒNG ĐÀO</t>
  </si>
  <si>
    <t>QT HUYỀN  HƯƠNG</t>
  </si>
  <si>
    <t>QT LÊ THỊ TÁM</t>
  </si>
  <si>
    <t>QT NGẦN CHIÊN</t>
  </si>
  <si>
    <t>QT NGỌC MY</t>
  </si>
  <si>
    <t>QT Ngọc Sơn</t>
  </si>
  <si>
    <t>QT NGUYỄN THỊ MINH TUYẾT</t>
  </si>
  <si>
    <t>QT NGUYỄN THỊ TÁM</t>
  </si>
  <si>
    <t>QT NGUYỄN THỊ THU</t>
  </si>
  <si>
    <t>QT NGUYỄN VUI (TT BO)</t>
  </si>
  <si>
    <t>QT NGUYỄN VUI (VĨNH TIẾN)</t>
  </si>
  <si>
    <t>QT THÁI HÀ</t>
  </si>
  <si>
    <t>QT THANH HÀ (KIM BÔI)</t>
  </si>
  <si>
    <t>QT THANH THỦY</t>
  </si>
  <si>
    <t>QT TRẦN THỊ HẰNG</t>
  </si>
  <si>
    <t>QT TRUNG TÂM</t>
  </si>
  <si>
    <t>Cửa hàng bán lẻ</t>
  </si>
  <si>
    <t>0985289298</t>
  </si>
  <si>
    <t>0355153503</t>
  </si>
  <si>
    <t>0919620299</t>
  </si>
  <si>
    <t>0914909989</t>
  </si>
  <si>
    <t>0984506698</t>
  </si>
  <si>
    <t>0964186816</t>
  </si>
  <si>
    <t>0327329296</t>
  </si>
  <si>
    <t>0965636618</t>
  </si>
  <si>
    <t>0962244595</t>
  </si>
  <si>
    <t>0973412551</t>
  </si>
  <si>
    <t>0976278486</t>
  </si>
  <si>
    <t>0374426199</t>
  </si>
  <si>
    <t>0918303568</t>
  </si>
  <si>
    <t>0984423721</t>
  </si>
  <si>
    <t>0916398192</t>
  </si>
  <si>
    <t>0977661749</t>
  </si>
  <si>
    <t>0984778881</t>
  </si>
  <si>
    <t>0349016095</t>
  </si>
  <si>
    <t>0948044252</t>
  </si>
  <si>
    <t>0357023934</t>
  </si>
  <si>
    <t>0977489865</t>
  </si>
  <si>
    <t>0914261327</t>
  </si>
  <si>
    <t>0349366554</t>
  </si>
  <si>
    <t>0378221276</t>
  </si>
  <si>
    <t>0376023679</t>
  </si>
  <si>
    <t>0984556511</t>
  </si>
  <si>
    <t>0987729678</t>
  </si>
  <si>
    <t>0975582111</t>
  </si>
  <si>
    <t>0987496931</t>
  </si>
  <si>
    <t>0989566755</t>
  </si>
  <si>
    <t>0867002689</t>
  </si>
  <si>
    <t>0904201165</t>
  </si>
  <si>
    <t>0978975272</t>
  </si>
  <si>
    <t>0355778651</t>
  </si>
  <si>
    <t>0818123889</t>
  </si>
  <si>
    <t>0859093999</t>
  </si>
  <si>
    <t>0976693264</t>
  </si>
  <si>
    <t>0336767768</t>
  </si>
  <si>
    <t>0342641008</t>
  </si>
  <si>
    <t>0979666030</t>
  </si>
  <si>
    <t>0814439828</t>
  </si>
  <si>
    <t>0349595117</t>
  </si>
  <si>
    <t>0975808010</t>
  </si>
  <si>
    <t>0346591075</t>
  </si>
  <si>
    <t>0979598256</t>
  </si>
  <si>
    <t>0386131284</t>
  </si>
  <si>
    <t>0368390624</t>
  </si>
  <si>
    <t>0963317586</t>
  </si>
  <si>
    <t>0355773668</t>
  </si>
  <si>
    <t>0345583262</t>
  </si>
  <si>
    <t>0377224870</t>
  </si>
  <si>
    <t>0344549476</t>
  </si>
  <si>
    <t>0345121067</t>
  </si>
  <si>
    <t>0985720238</t>
  </si>
  <si>
    <t>0983206361</t>
  </si>
  <si>
    <t>0989085071</t>
  </si>
  <si>
    <t>0379767645</t>
  </si>
  <si>
    <t>0989603768</t>
  </si>
  <si>
    <t>0979622140</t>
  </si>
  <si>
    <t>0377334868</t>
  </si>
  <si>
    <t>Trung tâm</t>
  </si>
  <si>
    <t>Ngã Ba Bãi Chạo</t>
  </si>
  <si>
    <t>Khu 4 Thị Trấn Cao Phong</t>
  </si>
  <si>
    <t>Số 20 Khu Thống Nhất</t>
  </si>
  <si>
    <t>Số 587, Tiểu Khu 12 Lương Sơn</t>
  </si>
  <si>
    <t>Cạnh Chợ Lương Sơn</t>
  </si>
  <si>
    <t>Số 516, Tiểu Khu 6 Lương Sơn</t>
  </si>
  <si>
    <t>Khu 3 Tt Cao Phong</t>
  </si>
  <si>
    <t>Số 13, Ngõ 3 Đường Phạm Văn Đồng</t>
  </si>
  <si>
    <t>Khu 6 Thị Trấn Cao Phong</t>
  </si>
  <si>
    <t>Xóm Sào (Cạnh Cổng Tt Y Tế Kim Bôi)</t>
  </si>
  <si>
    <t>Tiểu Khu Liên Sơn</t>
  </si>
  <si>
    <t>Gần Khu Quầy Thuốc Đào Thị Vượng</t>
  </si>
  <si>
    <t>Co Lương</t>
  </si>
  <si>
    <t>Đồng Hòa 1</t>
  </si>
  <si>
    <t>Xóm Bái Bệ</t>
  </si>
  <si>
    <t>Đội 3 Nam Thượng</t>
  </si>
  <si>
    <t>Xóm Đoàn Kết</t>
  </si>
  <si>
    <t>Xóm Lục</t>
  </si>
  <si>
    <t>Tiểu Khu 9 Lương Sơn</t>
  </si>
  <si>
    <t>Xóm Khu</t>
  </si>
  <si>
    <t>Ngã Ba Ve</t>
  </si>
  <si>
    <t>Phố Bằng</t>
  </si>
  <si>
    <t>Khu Đồng Tiến</t>
  </si>
  <si>
    <t>Chợ Chao</t>
  </si>
  <si>
    <t>Ngã Ba Phố Bằng Rẽ Vào Nam Phong</t>
  </si>
  <si>
    <t>Đồi Sim</t>
  </si>
  <si>
    <t>Thôn Mu (Gần Chợ Đầu Mối Đà Bắc)</t>
  </si>
  <si>
    <t>Thôn Nhâm Nhu</t>
  </si>
  <si>
    <t>Số 47 Khu Thống Nhất</t>
  </si>
  <si>
    <t>Sáu Thượng</t>
  </si>
  <si>
    <t>Xóm Tiểu Khu</t>
  </si>
  <si>
    <t>Ngã Ba Bệnh Viện</t>
  </si>
  <si>
    <t>Số 10C, Khu 4 Tt Cao Phong</t>
  </si>
  <si>
    <t>Xóm Cời</t>
  </si>
  <si>
    <t>Chợ Bo</t>
  </si>
  <si>
    <t>Quáng Ngoài</t>
  </si>
  <si>
    <t>Thôn Trung Sơn</t>
  </si>
  <si>
    <t>Khu Thái Bình</t>
  </si>
  <si>
    <t>Tiểu Khu 4 Mai Châu</t>
  </si>
  <si>
    <t>Số 8 Khu Thống Nhất</t>
  </si>
  <si>
    <t>Xóm Đầm Rừng</t>
  </si>
  <si>
    <t>Đối Diện bệnh viện Cao Phong</t>
  </si>
  <si>
    <t>Kim Đức</t>
  </si>
  <si>
    <t>Hòa Sơn</t>
  </si>
  <si>
    <t>Xóm Đỏng Ngoài</t>
  </si>
  <si>
    <t>Thị trấn Lương Sơn</t>
  </si>
  <si>
    <t>Thị trấn Cao Phong</t>
  </si>
  <si>
    <t>Xã Tú Sơn</t>
  </si>
  <si>
    <t>Thị trấn Mai Châu</t>
  </si>
  <si>
    <t>Thị trấn Bo</t>
  </si>
  <si>
    <t>Xã Hạ Bì</t>
  </si>
  <si>
    <t>Xã Vạn Mai</t>
  </si>
  <si>
    <t>Xã Kim Bình</t>
  </si>
  <si>
    <t>Xã Dũng Phong</t>
  </si>
  <si>
    <t>Xã Nam Thượng</t>
  </si>
  <si>
    <t>Xã Lâm Sơn</t>
  </si>
  <si>
    <t>Xã Bắc Phong</t>
  </si>
  <si>
    <t>Xã Đông Bắc</t>
  </si>
  <si>
    <t>Xã Tây Phong</t>
  </si>
  <si>
    <t>Xã Nam Phong</t>
  </si>
  <si>
    <t>Xã Long Sơn</t>
  </si>
  <si>
    <t>Thị trấn Đà Bắc</t>
  </si>
  <si>
    <t>Xã Hòa Sơn</t>
  </si>
  <si>
    <t>Xã Thanh Cao</t>
  </si>
  <si>
    <t>Xã Đồng Bảng</t>
  </si>
  <si>
    <t>Xã Tân Vinh</t>
  </si>
  <si>
    <t>Xã Kim Bôi</t>
  </si>
  <si>
    <t>Xã Nong Luông</t>
  </si>
  <si>
    <t>Xã Hợp Phong</t>
  </si>
  <si>
    <t>Xã Trung Sơn</t>
  </si>
  <si>
    <t>Xã Thu Phong</t>
  </si>
  <si>
    <t>Xã Vĩnh Tiến</t>
  </si>
  <si>
    <t>Thi tran Luong Son (Huyen Luong Son)</t>
  </si>
  <si>
    <t>Thi tran Cao Phong (Huyen Cao Phong)</t>
  </si>
  <si>
    <t>Xa Tu Son (Huyen Kim Boi)</t>
  </si>
  <si>
    <t>Thi tran Mai Chau (Huyen Mai Chau)</t>
  </si>
  <si>
    <t>Thi tran Bo (Huyen Kim Boi)</t>
  </si>
  <si>
    <t>Xa Ha Bi (Huyen Kim Boi)</t>
  </si>
  <si>
    <t>Xa Van Mai (Huyen Mai Chau)</t>
  </si>
  <si>
    <t>Xa Kim Binh (Huyen Kim Boi)</t>
  </si>
  <si>
    <t>Xa Dung Phong (Huyen Cao Phong)</t>
  </si>
  <si>
    <t>Xa Nam Thuong (Huyen Kim Boi)</t>
  </si>
  <si>
    <t>Xa Lam Son (Huyen Luong Son)</t>
  </si>
  <si>
    <t>Xa Bac Phong (Huyen Cao Phong)</t>
  </si>
  <si>
    <t>Xa Dong Bac (Huyen Kim Boi)</t>
  </si>
  <si>
    <t>Xa Tay Phong (Huyen Cao Phong)</t>
  </si>
  <si>
    <t>Xa Nam Phong (Huyen Cao Phong)</t>
  </si>
  <si>
    <t>Xa Long Son (Huyen Luong Son)</t>
  </si>
  <si>
    <t>Thi tran Da Bac (Huyen Da Bac)</t>
  </si>
  <si>
    <t>Xa Hoa Son (Huyen Luong Son)</t>
  </si>
  <si>
    <t>Xa Thanh Cao (Huyen Luong Son)</t>
  </si>
  <si>
    <t>Xa Dong Bang (Huyen Mai Chau)</t>
  </si>
  <si>
    <t>Xa Tan Vinh (Huyen Luong Son)</t>
  </si>
  <si>
    <t>Xa Kim Boi (Huyen Kim Boi)</t>
  </si>
  <si>
    <t>Xa Nong Luong (Huyen Mai Chau)</t>
  </si>
  <si>
    <t>Xa Hop Phong (Huyen Cao Phong)</t>
  </si>
  <si>
    <t>Xa Trung Son (Huyen Luong Son)</t>
  </si>
  <si>
    <t>Xa Thu Phong (Huyen Cao Phong)</t>
  </si>
  <si>
    <t>Xa Vinh Tien (Huyen Kim Boi)</t>
  </si>
  <si>
    <t>Huyện Lương Sơn</t>
  </si>
  <si>
    <t>Huyện Cao Phong</t>
  </si>
  <si>
    <t>Huyện Kim Bôi</t>
  </si>
  <si>
    <t>Huyện Mai Châu</t>
  </si>
  <si>
    <t>Huyện Đà Bắc</t>
  </si>
  <si>
    <t>Huyen Luong Son (Hoa Binh)</t>
  </si>
  <si>
    <t>Huyen Cao Phong (Hoa Binh)</t>
  </si>
  <si>
    <t>Huyen Kim Boi (Hoa Binh)</t>
  </si>
  <si>
    <t>Huyen Mai Chau (Hoa Binh)</t>
  </si>
  <si>
    <t>Huyen Da Bac (Hoa Binh)</t>
  </si>
  <si>
    <t>Hòa Bình</t>
  </si>
  <si>
    <t>Hoa Binh (VN)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</si>
</sst>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topLeftCell="K28" workbookViewId="0">
      <selection activeCell="N2" sqref="N2:P61"/>
    </sheetView>
  </sheetViews>
  <sheetFormatPr defaultColWidth="32.5703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6" x14ac:dyDescent="0.25">
      <c r="A2" t="s">
        <v>11</v>
      </c>
      <c r="B2" t="s">
        <v>71</v>
      </c>
      <c r="C2" t="s">
        <v>72</v>
      </c>
      <c r="D2" t="s">
        <v>132</v>
      </c>
      <c r="E2" t="s">
        <v>178</v>
      </c>
      <c r="F2" t="s">
        <v>205</v>
      </c>
      <c r="G2" t="s">
        <v>232</v>
      </c>
      <c r="H2" t="s">
        <v>237</v>
      </c>
      <c r="I2" t="s">
        <v>242</v>
      </c>
      <c r="J2" t="s">
        <v>243</v>
      </c>
      <c r="K2" s="2">
        <v>27652</v>
      </c>
      <c r="L2">
        <f>YEAR(K2)</f>
        <v>1975</v>
      </c>
      <c r="M2">
        <f>MONTH(K2)</f>
        <v>9</v>
      </c>
      <c r="N2">
        <f>DAY(K2)</f>
        <v>15</v>
      </c>
      <c r="O2">
        <v>9</v>
      </c>
      <c r="P2">
        <v>1975</v>
      </c>
    </row>
    <row r="3" spans="1:16" x14ac:dyDescent="0.25">
      <c r="A3" t="s">
        <v>12</v>
      </c>
      <c r="B3" t="s">
        <v>71</v>
      </c>
      <c r="C3" t="s">
        <v>73</v>
      </c>
      <c r="D3" t="s">
        <v>133</v>
      </c>
      <c r="E3" t="s">
        <v>180</v>
      </c>
      <c r="F3" t="s">
        <v>207</v>
      </c>
      <c r="G3" t="s">
        <v>234</v>
      </c>
      <c r="H3" t="s">
        <v>239</v>
      </c>
      <c r="I3" t="s">
        <v>242</v>
      </c>
      <c r="J3" t="s">
        <v>243</v>
      </c>
      <c r="K3" s="2">
        <v>33581</v>
      </c>
      <c r="L3">
        <f t="shared" ref="L3:L61" si="0">YEAR(K3)</f>
        <v>1991</v>
      </c>
      <c r="M3">
        <f t="shared" ref="M3:M61" si="1">MONTH(K3)</f>
        <v>12</v>
      </c>
      <c r="N3">
        <f t="shared" ref="N3:N61" si="2">DAY(K3)</f>
        <v>9</v>
      </c>
      <c r="O3">
        <v>12</v>
      </c>
      <c r="P3">
        <v>1991</v>
      </c>
    </row>
    <row r="4" spans="1:16" x14ac:dyDescent="0.25">
      <c r="A4" t="s">
        <v>13</v>
      </c>
      <c r="B4" t="s">
        <v>71</v>
      </c>
      <c r="C4" t="s">
        <v>74</v>
      </c>
      <c r="D4" t="s">
        <v>134</v>
      </c>
      <c r="E4" t="s">
        <v>179</v>
      </c>
      <c r="F4" t="s">
        <v>206</v>
      </c>
      <c r="G4" t="s">
        <v>233</v>
      </c>
      <c r="H4" t="s">
        <v>238</v>
      </c>
      <c r="I4" t="s">
        <v>242</v>
      </c>
      <c r="J4" t="s">
        <v>243</v>
      </c>
      <c r="K4" s="2">
        <v>30577</v>
      </c>
      <c r="L4">
        <f t="shared" si="0"/>
        <v>1983</v>
      </c>
      <c r="M4">
        <f t="shared" si="1"/>
        <v>9</v>
      </c>
      <c r="N4">
        <f t="shared" si="2"/>
        <v>18</v>
      </c>
      <c r="O4">
        <v>9</v>
      </c>
      <c r="P4">
        <v>1983</v>
      </c>
    </row>
    <row r="5" spans="1:16" x14ac:dyDescent="0.25">
      <c r="A5" t="s">
        <v>14</v>
      </c>
      <c r="B5" t="s">
        <v>71</v>
      </c>
      <c r="C5" t="s">
        <v>75</v>
      </c>
      <c r="D5" t="s">
        <v>132</v>
      </c>
      <c r="E5" t="s">
        <v>181</v>
      </c>
      <c r="F5" t="s">
        <v>208</v>
      </c>
      <c r="G5" t="s">
        <v>235</v>
      </c>
      <c r="H5" t="s">
        <v>240</v>
      </c>
      <c r="I5" t="s">
        <v>242</v>
      </c>
      <c r="J5" t="s">
        <v>243</v>
      </c>
      <c r="K5" s="2">
        <v>21335</v>
      </c>
      <c r="L5">
        <f t="shared" si="0"/>
        <v>1958</v>
      </c>
      <c r="M5">
        <f t="shared" si="1"/>
        <v>5</v>
      </c>
      <c r="N5">
        <f t="shared" si="2"/>
        <v>30</v>
      </c>
      <c r="O5">
        <v>5</v>
      </c>
      <c r="P5">
        <v>1958</v>
      </c>
    </row>
    <row r="6" spans="1:16" x14ac:dyDescent="0.25">
      <c r="A6" t="s">
        <v>15</v>
      </c>
      <c r="B6" t="s">
        <v>71</v>
      </c>
      <c r="C6" t="s">
        <v>76</v>
      </c>
      <c r="D6" t="s">
        <v>135</v>
      </c>
      <c r="E6" t="s">
        <v>182</v>
      </c>
      <c r="F6" t="s">
        <v>209</v>
      </c>
      <c r="G6" t="s">
        <v>234</v>
      </c>
      <c r="H6" t="s">
        <v>239</v>
      </c>
      <c r="I6" t="s">
        <v>242</v>
      </c>
      <c r="J6" t="s">
        <v>243</v>
      </c>
      <c r="K6" s="2">
        <v>44880</v>
      </c>
      <c r="L6">
        <f t="shared" si="0"/>
        <v>2022</v>
      </c>
      <c r="M6">
        <f t="shared" si="1"/>
        <v>11</v>
      </c>
      <c r="N6">
        <f t="shared" si="2"/>
        <v>15</v>
      </c>
      <c r="O6">
        <v>11</v>
      </c>
      <c r="P6">
        <v>2022</v>
      </c>
    </row>
    <row r="7" spans="1:16" x14ac:dyDescent="0.25">
      <c r="A7" t="s">
        <v>16</v>
      </c>
      <c r="B7" t="s">
        <v>71</v>
      </c>
      <c r="C7" t="s">
        <v>77</v>
      </c>
      <c r="D7" t="s">
        <v>136</v>
      </c>
      <c r="E7" t="s">
        <v>178</v>
      </c>
      <c r="F7" t="s">
        <v>205</v>
      </c>
      <c r="G7" t="s">
        <v>232</v>
      </c>
      <c r="H7" t="s">
        <v>237</v>
      </c>
      <c r="I7" t="s">
        <v>242</v>
      </c>
      <c r="J7" t="s">
        <v>243</v>
      </c>
      <c r="K7" s="2">
        <v>33040</v>
      </c>
      <c r="L7">
        <f t="shared" si="0"/>
        <v>1990</v>
      </c>
      <c r="M7">
        <f t="shared" si="1"/>
        <v>6</v>
      </c>
      <c r="N7">
        <f t="shared" si="2"/>
        <v>16</v>
      </c>
      <c r="O7">
        <v>6</v>
      </c>
      <c r="P7">
        <v>1990</v>
      </c>
    </row>
    <row r="8" spans="1:16" x14ac:dyDescent="0.25">
      <c r="A8" t="s">
        <v>17</v>
      </c>
      <c r="B8" t="s">
        <v>71</v>
      </c>
      <c r="C8" t="s">
        <v>78</v>
      </c>
      <c r="D8" t="s">
        <v>132</v>
      </c>
      <c r="E8" t="s">
        <v>181</v>
      </c>
      <c r="F8" t="s">
        <v>208</v>
      </c>
      <c r="G8" t="s">
        <v>235</v>
      </c>
      <c r="H8" t="s">
        <v>240</v>
      </c>
      <c r="I8" t="s">
        <v>242</v>
      </c>
      <c r="J8" t="s">
        <v>243</v>
      </c>
      <c r="K8" s="2">
        <v>18767</v>
      </c>
      <c r="L8">
        <f t="shared" si="0"/>
        <v>1951</v>
      </c>
      <c r="M8">
        <f t="shared" si="1"/>
        <v>5</v>
      </c>
      <c r="N8">
        <f t="shared" si="2"/>
        <v>19</v>
      </c>
      <c r="O8">
        <v>5</v>
      </c>
      <c r="P8">
        <v>1951</v>
      </c>
    </row>
    <row r="9" spans="1:16" x14ac:dyDescent="0.25">
      <c r="A9" t="s">
        <v>18</v>
      </c>
      <c r="B9" t="s">
        <v>71</v>
      </c>
      <c r="C9" t="s">
        <v>79</v>
      </c>
      <c r="D9" t="s">
        <v>137</v>
      </c>
      <c r="E9" t="s">
        <v>178</v>
      </c>
      <c r="F9" t="s">
        <v>205</v>
      </c>
      <c r="G9" t="s">
        <v>232</v>
      </c>
      <c r="H9" t="s">
        <v>237</v>
      </c>
      <c r="I9" t="s">
        <v>242</v>
      </c>
      <c r="J9" t="s">
        <v>243</v>
      </c>
      <c r="K9" s="2">
        <v>32300</v>
      </c>
      <c r="L9">
        <f t="shared" si="0"/>
        <v>1988</v>
      </c>
      <c r="M9">
        <f t="shared" si="1"/>
        <v>6</v>
      </c>
      <c r="N9">
        <f t="shared" si="2"/>
        <v>6</v>
      </c>
      <c r="O9">
        <v>6</v>
      </c>
      <c r="P9">
        <v>1988</v>
      </c>
    </row>
    <row r="10" spans="1:16" x14ac:dyDescent="0.25">
      <c r="A10" t="s">
        <v>19</v>
      </c>
      <c r="B10" t="s">
        <v>71</v>
      </c>
      <c r="C10" t="s">
        <v>80</v>
      </c>
      <c r="D10" t="s">
        <v>138</v>
      </c>
      <c r="E10" t="s">
        <v>178</v>
      </c>
      <c r="F10" t="s">
        <v>205</v>
      </c>
      <c r="G10" t="s">
        <v>232</v>
      </c>
      <c r="H10" t="s">
        <v>237</v>
      </c>
      <c r="I10" t="s">
        <v>242</v>
      </c>
      <c r="J10" t="s">
        <v>243</v>
      </c>
      <c r="K10" s="2">
        <v>34840</v>
      </c>
      <c r="L10">
        <f t="shared" si="0"/>
        <v>1995</v>
      </c>
      <c r="M10">
        <f t="shared" si="1"/>
        <v>5</v>
      </c>
      <c r="N10">
        <f t="shared" si="2"/>
        <v>21</v>
      </c>
      <c r="O10">
        <v>5</v>
      </c>
      <c r="P10">
        <v>1995</v>
      </c>
    </row>
    <row r="11" spans="1:16" x14ac:dyDescent="0.25">
      <c r="A11" t="s">
        <v>20</v>
      </c>
      <c r="B11" t="s">
        <v>71</v>
      </c>
      <c r="C11" t="s">
        <v>81</v>
      </c>
      <c r="D11" t="s">
        <v>139</v>
      </c>
      <c r="E11" t="s">
        <v>179</v>
      </c>
      <c r="F11" t="s">
        <v>206</v>
      </c>
      <c r="G11" t="s">
        <v>233</v>
      </c>
      <c r="H11" t="s">
        <v>238</v>
      </c>
      <c r="I11" t="s">
        <v>242</v>
      </c>
      <c r="J11" t="s">
        <v>243</v>
      </c>
      <c r="K11" s="2">
        <v>35121</v>
      </c>
      <c r="L11">
        <f t="shared" si="0"/>
        <v>1996</v>
      </c>
      <c r="M11">
        <f t="shared" si="1"/>
        <v>2</v>
      </c>
      <c r="N11">
        <f t="shared" si="2"/>
        <v>26</v>
      </c>
      <c r="O11">
        <v>2</v>
      </c>
      <c r="P11">
        <v>1996</v>
      </c>
    </row>
    <row r="12" spans="1:16" x14ac:dyDescent="0.25">
      <c r="A12" t="s">
        <v>21</v>
      </c>
      <c r="B12" t="s">
        <v>71</v>
      </c>
      <c r="C12" t="s">
        <v>82</v>
      </c>
      <c r="D12" t="s">
        <v>140</v>
      </c>
      <c r="E12" t="s">
        <v>178</v>
      </c>
      <c r="F12" t="s">
        <v>205</v>
      </c>
      <c r="G12" t="s">
        <v>232</v>
      </c>
      <c r="H12" t="s">
        <v>237</v>
      </c>
      <c r="I12" t="s">
        <v>242</v>
      </c>
      <c r="J12" t="s">
        <v>243</v>
      </c>
      <c r="K12" s="2">
        <v>31666</v>
      </c>
      <c r="L12">
        <f t="shared" si="0"/>
        <v>1986</v>
      </c>
      <c r="M12">
        <f t="shared" si="1"/>
        <v>9</v>
      </c>
      <c r="N12">
        <f t="shared" si="2"/>
        <v>11</v>
      </c>
      <c r="O12">
        <v>9</v>
      </c>
      <c r="P12">
        <v>1986</v>
      </c>
    </row>
    <row r="13" spans="1:16" x14ac:dyDescent="0.25">
      <c r="A13" t="s">
        <v>22</v>
      </c>
      <c r="B13" t="s">
        <v>71</v>
      </c>
      <c r="C13" t="s">
        <v>83</v>
      </c>
      <c r="D13" t="s">
        <v>141</v>
      </c>
      <c r="E13" t="s">
        <v>179</v>
      </c>
      <c r="F13" t="s">
        <v>206</v>
      </c>
      <c r="G13" t="s">
        <v>233</v>
      </c>
      <c r="H13" t="s">
        <v>238</v>
      </c>
      <c r="I13" t="s">
        <v>242</v>
      </c>
      <c r="J13" t="s">
        <v>243</v>
      </c>
      <c r="K13" s="2">
        <v>35439</v>
      </c>
      <c r="L13">
        <f t="shared" si="0"/>
        <v>1997</v>
      </c>
      <c r="M13">
        <f t="shared" si="1"/>
        <v>1</v>
      </c>
      <c r="N13">
        <f t="shared" si="2"/>
        <v>9</v>
      </c>
      <c r="O13">
        <v>1</v>
      </c>
      <c r="P13">
        <v>1997</v>
      </c>
    </row>
    <row r="14" spans="1:16" x14ac:dyDescent="0.25">
      <c r="A14" t="s">
        <v>23</v>
      </c>
      <c r="B14" t="s">
        <v>71</v>
      </c>
      <c r="C14" t="s">
        <v>84</v>
      </c>
      <c r="D14" t="s">
        <v>142</v>
      </c>
      <c r="E14" t="s">
        <v>183</v>
      </c>
      <c r="F14" t="s">
        <v>210</v>
      </c>
      <c r="G14" t="s">
        <v>234</v>
      </c>
      <c r="H14" t="s">
        <v>239</v>
      </c>
      <c r="I14" t="s">
        <v>242</v>
      </c>
      <c r="J14" t="s">
        <v>243</v>
      </c>
      <c r="K14" s="2">
        <v>31800</v>
      </c>
      <c r="L14">
        <f t="shared" si="0"/>
        <v>1987</v>
      </c>
      <c r="M14">
        <f t="shared" si="1"/>
        <v>1</v>
      </c>
      <c r="N14">
        <f t="shared" si="2"/>
        <v>23</v>
      </c>
      <c r="O14">
        <v>1</v>
      </c>
      <c r="P14">
        <v>1987</v>
      </c>
    </row>
    <row r="15" spans="1:16" x14ac:dyDescent="0.25">
      <c r="A15" t="s">
        <v>24</v>
      </c>
      <c r="B15" t="s">
        <v>71</v>
      </c>
      <c r="C15" t="s">
        <v>85</v>
      </c>
      <c r="D15" t="s">
        <v>143</v>
      </c>
      <c r="E15" t="s">
        <v>178</v>
      </c>
      <c r="F15" t="s">
        <v>205</v>
      </c>
      <c r="G15" t="s">
        <v>232</v>
      </c>
      <c r="H15" t="s">
        <v>237</v>
      </c>
      <c r="I15" t="s">
        <v>242</v>
      </c>
      <c r="J15" t="s">
        <v>243</v>
      </c>
      <c r="K15" s="2">
        <v>33519</v>
      </c>
      <c r="L15">
        <f t="shared" si="0"/>
        <v>1991</v>
      </c>
      <c r="M15">
        <f t="shared" si="1"/>
        <v>10</v>
      </c>
      <c r="N15">
        <f t="shared" si="2"/>
        <v>8</v>
      </c>
      <c r="O15">
        <v>10</v>
      </c>
      <c r="P15">
        <v>1991</v>
      </c>
    </row>
    <row r="16" spans="1:16" x14ac:dyDescent="0.25">
      <c r="A16" t="s">
        <v>25</v>
      </c>
      <c r="B16" t="s">
        <v>71</v>
      </c>
      <c r="C16" t="s">
        <v>86</v>
      </c>
      <c r="D16" t="s">
        <v>144</v>
      </c>
      <c r="E16" t="s">
        <v>179</v>
      </c>
      <c r="F16" t="s">
        <v>206</v>
      </c>
      <c r="G16" t="s">
        <v>233</v>
      </c>
      <c r="H16" t="s">
        <v>238</v>
      </c>
      <c r="I16" t="s">
        <v>242</v>
      </c>
      <c r="J16" t="s">
        <v>243</v>
      </c>
      <c r="K16" s="2">
        <v>26594</v>
      </c>
      <c r="L16">
        <f t="shared" si="0"/>
        <v>1972</v>
      </c>
      <c r="M16">
        <f t="shared" si="1"/>
        <v>10</v>
      </c>
      <c r="N16">
        <f t="shared" si="2"/>
        <v>22</v>
      </c>
      <c r="O16">
        <v>10</v>
      </c>
      <c r="P16">
        <v>1972</v>
      </c>
    </row>
    <row r="17" spans="1:16" x14ac:dyDescent="0.25">
      <c r="A17" t="s">
        <v>26</v>
      </c>
      <c r="B17" t="s">
        <v>71</v>
      </c>
      <c r="C17" t="s">
        <v>87</v>
      </c>
      <c r="D17" t="s">
        <v>145</v>
      </c>
      <c r="E17" t="s">
        <v>184</v>
      </c>
      <c r="F17" t="s">
        <v>211</v>
      </c>
      <c r="G17" t="s">
        <v>235</v>
      </c>
      <c r="H17" t="s">
        <v>240</v>
      </c>
      <c r="I17" t="s">
        <v>242</v>
      </c>
      <c r="J17" t="s">
        <v>243</v>
      </c>
      <c r="K17" s="2">
        <v>29840</v>
      </c>
      <c r="L17">
        <f t="shared" si="0"/>
        <v>1981</v>
      </c>
      <c r="M17">
        <f t="shared" si="1"/>
        <v>9</v>
      </c>
      <c r="N17">
        <f t="shared" si="2"/>
        <v>11</v>
      </c>
      <c r="O17">
        <v>9</v>
      </c>
      <c r="P17">
        <v>1981</v>
      </c>
    </row>
    <row r="18" spans="1:16" x14ac:dyDescent="0.25">
      <c r="A18" t="s">
        <v>27</v>
      </c>
      <c r="B18" t="s">
        <v>71</v>
      </c>
      <c r="C18" t="s">
        <v>88</v>
      </c>
      <c r="D18" t="s">
        <v>146</v>
      </c>
      <c r="G18" t="s">
        <v>234</v>
      </c>
      <c r="H18" t="s">
        <v>239</v>
      </c>
      <c r="I18" t="s">
        <v>242</v>
      </c>
      <c r="J18" t="s">
        <v>243</v>
      </c>
      <c r="K18" s="2">
        <v>30624</v>
      </c>
      <c r="L18">
        <f t="shared" si="0"/>
        <v>1983</v>
      </c>
      <c r="M18">
        <f t="shared" si="1"/>
        <v>11</v>
      </c>
      <c r="N18">
        <f t="shared" si="2"/>
        <v>4</v>
      </c>
      <c r="O18">
        <v>11</v>
      </c>
      <c r="P18">
        <v>1983</v>
      </c>
    </row>
    <row r="19" spans="1:16" x14ac:dyDescent="0.25">
      <c r="A19" t="s">
        <v>28</v>
      </c>
      <c r="B19" t="s">
        <v>71</v>
      </c>
      <c r="C19" t="s">
        <v>89</v>
      </c>
      <c r="D19" t="s">
        <v>132</v>
      </c>
      <c r="E19" t="s">
        <v>185</v>
      </c>
      <c r="F19" t="s">
        <v>212</v>
      </c>
      <c r="G19" t="s">
        <v>234</v>
      </c>
      <c r="H19" t="s">
        <v>239</v>
      </c>
      <c r="I19" t="s">
        <v>242</v>
      </c>
      <c r="J19" t="s">
        <v>243</v>
      </c>
      <c r="K19" s="2">
        <v>31192</v>
      </c>
      <c r="L19">
        <f t="shared" si="0"/>
        <v>1985</v>
      </c>
      <c r="M19">
        <f t="shared" si="1"/>
        <v>5</v>
      </c>
      <c r="N19">
        <f t="shared" si="2"/>
        <v>25</v>
      </c>
      <c r="O19">
        <v>5</v>
      </c>
      <c r="P19">
        <v>1985</v>
      </c>
    </row>
    <row r="20" spans="1:16" x14ac:dyDescent="0.25">
      <c r="A20" t="s">
        <v>29</v>
      </c>
      <c r="B20" t="s">
        <v>71</v>
      </c>
      <c r="C20" t="s">
        <v>90</v>
      </c>
      <c r="D20" t="s">
        <v>147</v>
      </c>
      <c r="E20" t="s">
        <v>186</v>
      </c>
      <c r="F20" t="s">
        <v>213</v>
      </c>
      <c r="G20" t="s">
        <v>233</v>
      </c>
      <c r="H20" t="s">
        <v>238</v>
      </c>
      <c r="I20" t="s">
        <v>242</v>
      </c>
      <c r="J20" t="s">
        <v>243</v>
      </c>
      <c r="K20" s="2">
        <v>27298</v>
      </c>
      <c r="L20">
        <f t="shared" si="0"/>
        <v>1974</v>
      </c>
      <c r="M20">
        <f t="shared" si="1"/>
        <v>9</v>
      </c>
      <c r="N20">
        <f t="shared" si="2"/>
        <v>26</v>
      </c>
      <c r="O20">
        <v>9</v>
      </c>
      <c r="P20">
        <v>1974</v>
      </c>
    </row>
    <row r="21" spans="1:16" x14ac:dyDescent="0.25">
      <c r="A21" t="s">
        <v>30</v>
      </c>
      <c r="B21" t="s">
        <v>71</v>
      </c>
      <c r="C21" t="s">
        <v>91</v>
      </c>
      <c r="D21" t="s">
        <v>148</v>
      </c>
      <c r="E21" t="s">
        <v>187</v>
      </c>
      <c r="F21" t="s">
        <v>214</v>
      </c>
      <c r="G21" t="s">
        <v>234</v>
      </c>
      <c r="H21" t="s">
        <v>239</v>
      </c>
      <c r="I21" t="s">
        <v>242</v>
      </c>
      <c r="J21" t="s">
        <v>243</v>
      </c>
      <c r="K21" s="2">
        <v>30147</v>
      </c>
      <c r="L21">
        <f t="shared" si="0"/>
        <v>1982</v>
      </c>
      <c r="M21">
        <f t="shared" si="1"/>
        <v>7</v>
      </c>
      <c r="N21">
        <f t="shared" si="2"/>
        <v>15</v>
      </c>
      <c r="O21">
        <v>7</v>
      </c>
      <c r="P21">
        <v>1982</v>
      </c>
    </row>
    <row r="22" spans="1:16" x14ac:dyDescent="0.25">
      <c r="A22" t="s">
        <v>31</v>
      </c>
      <c r="B22" t="s">
        <v>71</v>
      </c>
      <c r="C22" t="s">
        <v>92</v>
      </c>
      <c r="D22" t="s">
        <v>149</v>
      </c>
      <c r="E22" t="s">
        <v>188</v>
      </c>
      <c r="F22" t="s">
        <v>215</v>
      </c>
      <c r="G22" t="s">
        <v>232</v>
      </c>
      <c r="H22" t="s">
        <v>237</v>
      </c>
      <c r="I22" t="s">
        <v>242</v>
      </c>
      <c r="J22" t="s">
        <v>243</v>
      </c>
      <c r="K22" s="2">
        <v>29114</v>
      </c>
      <c r="L22">
        <f t="shared" si="0"/>
        <v>1979</v>
      </c>
      <c r="M22">
        <f t="shared" si="1"/>
        <v>9</v>
      </c>
      <c r="N22">
        <f t="shared" si="2"/>
        <v>16</v>
      </c>
      <c r="O22">
        <v>9</v>
      </c>
      <c r="P22">
        <v>1979</v>
      </c>
    </row>
    <row r="23" spans="1:16" x14ac:dyDescent="0.25">
      <c r="A23" t="s">
        <v>32</v>
      </c>
      <c r="B23" t="s">
        <v>71</v>
      </c>
      <c r="C23" t="s">
        <v>93</v>
      </c>
      <c r="D23" t="s">
        <v>150</v>
      </c>
      <c r="E23" t="s">
        <v>185</v>
      </c>
      <c r="F23" t="s">
        <v>212</v>
      </c>
      <c r="G23" t="s">
        <v>234</v>
      </c>
      <c r="H23" t="s">
        <v>239</v>
      </c>
      <c r="I23" t="s">
        <v>242</v>
      </c>
      <c r="J23" t="s">
        <v>243</v>
      </c>
      <c r="K23" s="2">
        <v>42307</v>
      </c>
      <c r="L23">
        <f t="shared" si="0"/>
        <v>2015</v>
      </c>
      <c r="M23">
        <f t="shared" si="1"/>
        <v>10</v>
      </c>
      <c r="N23">
        <f t="shared" si="2"/>
        <v>30</v>
      </c>
      <c r="O23">
        <v>10</v>
      </c>
      <c r="P23">
        <v>2015</v>
      </c>
    </row>
    <row r="24" spans="1:16" x14ac:dyDescent="0.25">
      <c r="A24" t="s">
        <v>33</v>
      </c>
      <c r="B24" t="s">
        <v>71</v>
      </c>
      <c r="C24" t="s">
        <v>94</v>
      </c>
      <c r="D24" t="s">
        <v>151</v>
      </c>
      <c r="E24" t="s">
        <v>178</v>
      </c>
      <c r="F24" t="s">
        <v>205</v>
      </c>
      <c r="G24" t="s">
        <v>232</v>
      </c>
      <c r="H24" t="s">
        <v>237</v>
      </c>
      <c r="I24" t="s">
        <v>242</v>
      </c>
      <c r="J24" t="s">
        <v>243</v>
      </c>
      <c r="K24" s="2">
        <v>28712</v>
      </c>
      <c r="L24">
        <f t="shared" si="0"/>
        <v>1978</v>
      </c>
      <c r="M24">
        <f t="shared" si="1"/>
        <v>8</v>
      </c>
      <c r="N24">
        <f t="shared" si="2"/>
        <v>10</v>
      </c>
      <c r="O24">
        <v>8</v>
      </c>
      <c r="P24">
        <v>1978</v>
      </c>
    </row>
    <row r="25" spans="1:16" x14ac:dyDescent="0.25">
      <c r="A25" t="s">
        <v>34</v>
      </c>
      <c r="B25" t="s">
        <v>71</v>
      </c>
      <c r="C25" t="s">
        <v>95</v>
      </c>
      <c r="D25" t="s">
        <v>152</v>
      </c>
      <c r="E25" t="s">
        <v>189</v>
      </c>
      <c r="F25" t="s">
        <v>216</v>
      </c>
      <c r="G25" t="s">
        <v>233</v>
      </c>
      <c r="H25" t="s">
        <v>238</v>
      </c>
      <c r="I25" t="s">
        <v>242</v>
      </c>
      <c r="J25" t="s">
        <v>243</v>
      </c>
      <c r="K25" s="2">
        <v>27795</v>
      </c>
      <c r="L25">
        <f t="shared" si="0"/>
        <v>1976</v>
      </c>
      <c r="M25">
        <f t="shared" si="1"/>
        <v>2</v>
      </c>
      <c r="N25">
        <f t="shared" si="2"/>
        <v>5</v>
      </c>
      <c r="O25">
        <v>2</v>
      </c>
      <c r="P25">
        <v>1976</v>
      </c>
    </row>
    <row r="26" spans="1:16" x14ac:dyDescent="0.25">
      <c r="A26" t="s">
        <v>35</v>
      </c>
      <c r="B26" t="s">
        <v>71</v>
      </c>
      <c r="C26" t="s">
        <v>96</v>
      </c>
      <c r="D26" t="s">
        <v>153</v>
      </c>
      <c r="E26" t="s">
        <v>190</v>
      </c>
      <c r="F26" t="s">
        <v>217</v>
      </c>
      <c r="G26" t="s">
        <v>234</v>
      </c>
      <c r="H26" t="s">
        <v>239</v>
      </c>
      <c r="I26" t="s">
        <v>242</v>
      </c>
      <c r="J26" t="s">
        <v>243</v>
      </c>
      <c r="K26" s="2">
        <v>30670</v>
      </c>
      <c r="L26">
        <f t="shared" si="0"/>
        <v>1983</v>
      </c>
      <c r="M26">
        <f t="shared" si="1"/>
        <v>12</v>
      </c>
      <c r="N26">
        <f t="shared" si="2"/>
        <v>20</v>
      </c>
      <c r="O26">
        <v>12</v>
      </c>
      <c r="P26">
        <v>1983</v>
      </c>
    </row>
    <row r="27" spans="1:16" x14ac:dyDescent="0.25">
      <c r="A27" t="s">
        <v>36</v>
      </c>
      <c r="B27" t="s">
        <v>71</v>
      </c>
      <c r="C27" t="s">
        <v>97</v>
      </c>
      <c r="D27" t="s">
        <v>132</v>
      </c>
      <c r="E27" t="s">
        <v>179</v>
      </c>
      <c r="F27" t="s">
        <v>206</v>
      </c>
      <c r="G27" t="s">
        <v>233</v>
      </c>
      <c r="H27" t="s">
        <v>238</v>
      </c>
      <c r="I27" t="s">
        <v>242</v>
      </c>
      <c r="J27" t="s">
        <v>243</v>
      </c>
      <c r="K27" s="2">
        <v>26304</v>
      </c>
      <c r="L27">
        <f t="shared" si="0"/>
        <v>1972</v>
      </c>
      <c r="M27">
        <f t="shared" si="1"/>
        <v>1</v>
      </c>
      <c r="N27">
        <f t="shared" si="2"/>
        <v>6</v>
      </c>
      <c r="O27">
        <v>1</v>
      </c>
      <c r="P27">
        <v>1972</v>
      </c>
    </row>
    <row r="28" spans="1:16" x14ac:dyDescent="0.25">
      <c r="A28" t="s">
        <v>37</v>
      </c>
      <c r="B28" t="s">
        <v>71</v>
      </c>
      <c r="C28" t="s">
        <v>98</v>
      </c>
      <c r="D28" t="s">
        <v>132</v>
      </c>
      <c r="E28" t="s">
        <v>182</v>
      </c>
      <c r="F28" t="s">
        <v>209</v>
      </c>
      <c r="G28" t="s">
        <v>234</v>
      </c>
      <c r="H28" t="s">
        <v>239</v>
      </c>
      <c r="I28" t="s">
        <v>242</v>
      </c>
      <c r="J28" t="s">
        <v>243</v>
      </c>
      <c r="K28" s="2">
        <v>28678</v>
      </c>
      <c r="L28">
        <f t="shared" si="0"/>
        <v>1978</v>
      </c>
      <c r="M28">
        <f t="shared" si="1"/>
        <v>7</v>
      </c>
      <c r="N28">
        <f t="shared" si="2"/>
        <v>7</v>
      </c>
      <c r="O28">
        <v>7</v>
      </c>
      <c r="P28">
        <v>1978</v>
      </c>
    </row>
    <row r="29" spans="1:16" x14ac:dyDescent="0.25">
      <c r="A29" t="s">
        <v>38</v>
      </c>
      <c r="B29" t="s">
        <v>71</v>
      </c>
      <c r="C29" t="s">
        <v>99</v>
      </c>
      <c r="D29" t="s">
        <v>132</v>
      </c>
      <c r="E29" t="s">
        <v>182</v>
      </c>
      <c r="F29" t="s">
        <v>209</v>
      </c>
      <c r="G29" t="s">
        <v>234</v>
      </c>
      <c r="H29" t="s">
        <v>239</v>
      </c>
      <c r="I29" t="s">
        <v>242</v>
      </c>
      <c r="J29" t="s">
        <v>243</v>
      </c>
      <c r="K29" s="2">
        <v>29358</v>
      </c>
      <c r="L29">
        <f t="shared" si="0"/>
        <v>1980</v>
      </c>
      <c r="M29">
        <f t="shared" si="1"/>
        <v>5</v>
      </c>
      <c r="N29">
        <f t="shared" si="2"/>
        <v>17</v>
      </c>
      <c r="O29">
        <v>5</v>
      </c>
      <c r="P29">
        <v>1980</v>
      </c>
    </row>
    <row r="30" spans="1:16" x14ac:dyDescent="0.25">
      <c r="A30" t="s">
        <v>39</v>
      </c>
      <c r="B30" t="s">
        <v>71</v>
      </c>
      <c r="C30" t="s">
        <v>100</v>
      </c>
      <c r="D30" t="s">
        <v>154</v>
      </c>
      <c r="E30" t="s">
        <v>191</v>
      </c>
      <c r="F30" t="s">
        <v>218</v>
      </c>
      <c r="G30" t="s">
        <v>233</v>
      </c>
      <c r="H30" t="s">
        <v>238</v>
      </c>
      <c r="I30" t="s">
        <v>242</v>
      </c>
      <c r="J30" t="s">
        <v>243</v>
      </c>
      <c r="K30" s="2">
        <v>28860</v>
      </c>
      <c r="L30">
        <f t="shared" si="0"/>
        <v>1979</v>
      </c>
      <c r="M30">
        <f t="shared" si="1"/>
        <v>1</v>
      </c>
      <c r="N30">
        <f t="shared" si="2"/>
        <v>5</v>
      </c>
      <c r="O30">
        <v>1</v>
      </c>
      <c r="P30">
        <v>1979</v>
      </c>
    </row>
    <row r="31" spans="1:16" x14ac:dyDescent="0.25">
      <c r="A31" t="s">
        <v>40</v>
      </c>
      <c r="B31" t="s">
        <v>71</v>
      </c>
      <c r="C31" t="s">
        <v>101</v>
      </c>
      <c r="D31" t="s">
        <v>155</v>
      </c>
      <c r="E31" t="s">
        <v>182</v>
      </c>
      <c r="F31" t="s">
        <v>209</v>
      </c>
      <c r="G31" t="s">
        <v>234</v>
      </c>
      <c r="H31" t="s">
        <v>239</v>
      </c>
      <c r="I31" t="s">
        <v>242</v>
      </c>
      <c r="J31" t="s">
        <v>243</v>
      </c>
      <c r="K31" s="2">
        <v>31705</v>
      </c>
      <c r="L31">
        <f t="shared" si="0"/>
        <v>1986</v>
      </c>
      <c r="M31">
        <f t="shared" si="1"/>
        <v>10</v>
      </c>
      <c r="N31">
        <f t="shared" si="2"/>
        <v>20</v>
      </c>
      <c r="O31">
        <v>10</v>
      </c>
      <c r="P31">
        <v>1986</v>
      </c>
    </row>
    <row r="32" spans="1:16" x14ac:dyDescent="0.25">
      <c r="A32" t="s">
        <v>41</v>
      </c>
      <c r="B32" t="s">
        <v>71</v>
      </c>
      <c r="C32" t="s">
        <v>102</v>
      </c>
      <c r="D32" t="s">
        <v>156</v>
      </c>
      <c r="E32" t="s">
        <v>180</v>
      </c>
      <c r="F32" t="s">
        <v>207</v>
      </c>
      <c r="G32" t="s">
        <v>234</v>
      </c>
      <c r="H32" t="s">
        <v>239</v>
      </c>
      <c r="I32" t="s">
        <v>242</v>
      </c>
      <c r="J32" t="s">
        <v>243</v>
      </c>
      <c r="K32" s="2">
        <v>24193</v>
      </c>
      <c r="L32">
        <f t="shared" si="0"/>
        <v>1966</v>
      </c>
      <c r="M32">
        <f t="shared" si="1"/>
        <v>3</v>
      </c>
      <c r="N32">
        <f t="shared" si="2"/>
        <v>27</v>
      </c>
      <c r="O32">
        <v>3</v>
      </c>
      <c r="P32">
        <v>1966</v>
      </c>
    </row>
    <row r="33" spans="1:16" x14ac:dyDescent="0.25">
      <c r="A33" t="s">
        <v>42</v>
      </c>
      <c r="B33" t="s">
        <v>71</v>
      </c>
      <c r="C33" t="s">
        <v>103</v>
      </c>
      <c r="D33" t="s">
        <v>132</v>
      </c>
      <c r="E33" t="s">
        <v>191</v>
      </c>
      <c r="F33" t="s">
        <v>218</v>
      </c>
      <c r="G33" t="s">
        <v>233</v>
      </c>
      <c r="H33" t="s">
        <v>238</v>
      </c>
      <c r="I33" t="s">
        <v>242</v>
      </c>
      <c r="J33" t="s">
        <v>243</v>
      </c>
      <c r="K33" s="2">
        <v>24066</v>
      </c>
      <c r="L33">
        <f t="shared" si="0"/>
        <v>1965</v>
      </c>
      <c r="M33">
        <f t="shared" si="1"/>
        <v>11</v>
      </c>
      <c r="N33">
        <f t="shared" si="2"/>
        <v>20</v>
      </c>
      <c r="O33">
        <v>11</v>
      </c>
      <c r="P33">
        <v>1965</v>
      </c>
    </row>
    <row r="34" spans="1:16" x14ac:dyDescent="0.25">
      <c r="A34" t="s">
        <v>43</v>
      </c>
      <c r="B34" t="s">
        <v>71</v>
      </c>
      <c r="C34" t="s">
        <v>104</v>
      </c>
      <c r="D34" t="s">
        <v>157</v>
      </c>
      <c r="E34" t="s">
        <v>192</v>
      </c>
      <c r="F34" t="s">
        <v>219</v>
      </c>
      <c r="G34" t="s">
        <v>233</v>
      </c>
      <c r="H34" t="s">
        <v>238</v>
      </c>
      <c r="I34" t="s">
        <v>242</v>
      </c>
      <c r="J34" t="s">
        <v>243</v>
      </c>
      <c r="K34" s="2">
        <v>28089</v>
      </c>
      <c r="L34">
        <f t="shared" si="0"/>
        <v>1976</v>
      </c>
      <c r="M34">
        <f t="shared" si="1"/>
        <v>11</v>
      </c>
      <c r="N34">
        <f t="shared" si="2"/>
        <v>25</v>
      </c>
      <c r="O34">
        <v>11</v>
      </c>
      <c r="P34">
        <v>1976</v>
      </c>
    </row>
    <row r="35" spans="1:16" x14ac:dyDescent="0.25">
      <c r="A35" t="s">
        <v>44</v>
      </c>
      <c r="B35" t="s">
        <v>71</v>
      </c>
      <c r="C35" t="s">
        <v>105</v>
      </c>
      <c r="D35" t="s">
        <v>158</v>
      </c>
      <c r="E35" t="s">
        <v>193</v>
      </c>
      <c r="F35" t="s">
        <v>220</v>
      </c>
      <c r="G35" t="s">
        <v>232</v>
      </c>
      <c r="H35" t="s">
        <v>237</v>
      </c>
      <c r="I35" t="s">
        <v>242</v>
      </c>
      <c r="J35" t="s">
        <v>243</v>
      </c>
      <c r="K35" s="2">
        <v>21674</v>
      </c>
      <c r="L35">
        <f t="shared" si="0"/>
        <v>1959</v>
      </c>
      <c r="M35">
        <f t="shared" si="1"/>
        <v>5</v>
      </c>
      <c r="N35">
        <f t="shared" si="2"/>
        <v>4</v>
      </c>
      <c r="O35">
        <v>5</v>
      </c>
      <c r="P35">
        <v>1959</v>
      </c>
    </row>
    <row r="36" spans="1:16" x14ac:dyDescent="0.25">
      <c r="A36" t="s">
        <v>45</v>
      </c>
      <c r="B36" t="s">
        <v>71</v>
      </c>
      <c r="C36" t="s">
        <v>106</v>
      </c>
      <c r="D36" t="s">
        <v>132</v>
      </c>
      <c r="E36" t="s">
        <v>181</v>
      </c>
      <c r="F36" t="s">
        <v>208</v>
      </c>
      <c r="G36" t="s">
        <v>235</v>
      </c>
      <c r="H36" t="s">
        <v>240</v>
      </c>
      <c r="I36" t="s">
        <v>242</v>
      </c>
      <c r="J36" t="s">
        <v>243</v>
      </c>
      <c r="K36" s="2">
        <v>23264</v>
      </c>
      <c r="L36">
        <f t="shared" si="0"/>
        <v>1963</v>
      </c>
      <c r="M36">
        <f t="shared" si="1"/>
        <v>9</v>
      </c>
      <c r="N36">
        <f t="shared" si="2"/>
        <v>10</v>
      </c>
      <c r="O36">
        <v>9</v>
      </c>
      <c r="P36">
        <v>1963</v>
      </c>
    </row>
    <row r="37" spans="1:16" x14ac:dyDescent="0.25">
      <c r="A37" t="s">
        <v>46</v>
      </c>
      <c r="B37" t="s">
        <v>71</v>
      </c>
      <c r="C37" t="s">
        <v>107</v>
      </c>
      <c r="D37" t="s">
        <v>132</v>
      </c>
      <c r="E37" t="s">
        <v>179</v>
      </c>
      <c r="F37" t="s">
        <v>206</v>
      </c>
      <c r="G37" t="s">
        <v>233</v>
      </c>
      <c r="H37" t="s">
        <v>238</v>
      </c>
      <c r="I37" t="s">
        <v>242</v>
      </c>
      <c r="J37" t="s">
        <v>243</v>
      </c>
      <c r="K37" s="2">
        <v>28353</v>
      </c>
      <c r="L37">
        <f t="shared" si="0"/>
        <v>1977</v>
      </c>
      <c r="M37">
        <f t="shared" si="1"/>
        <v>8</v>
      </c>
      <c r="N37">
        <f t="shared" si="2"/>
        <v>16</v>
      </c>
      <c r="O37">
        <v>8</v>
      </c>
      <c r="P37">
        <v>1977</v>
      </c>
    </row>
    <row r="38" spans="1:16" x14ac:dyDescent="0.25">
      <c r="A38" t="s">
        <v>47</v>
      </c>
      <c r="B38" t="s">
        <v>71</v>
      </c>
      <c r="C38" t="s">
        <v>108</v>
      </c>
      <c r="D38" t="s">
        <v>159</v>
      </c>
      <c r="E38" t="s">
        <v>194</v>
      </c>
      <c r="F38" t="s">
        <v>221</v>
      </c>
      <c r="G38" t="s">
        <v>236</v>
      </c>
      <c r="H38" t="s">
        <v>241</v>
      </c>
      <c r="I38" t="s">
        <v>242</v>
      </c>
      <c r="J38" t="s">
        <v>243</v>
      </c>
      <c r="K38" s="2">
        <v>23684</v>
      </c>
      <c r="L38">
        <f t="shared" si="0"/>
        <v>1964</v>
      </c>
      <c r="M38">
        <f t="shared" si="1"/>
        <v>11</v>
      </c>
      <c r="N38">
        <f t="shared" si="2"/>
        <v>3</v>
      </c>
      <c r="O38">
        <v>11</v>
      </c>
      <c r="P38">
        <v>1964</v>
      </c>
    </row>
    <row r="39" spans="1:16" x14ac:dyDescent="0.25">
      <c r="A39" t="s">
        <v>48</v>
      </c>
      <c r="B39" t="s">
        <v>71</v>
      </c>
      <c r="C39" t="s">
        <v>109</v>
      </c>
      <c r="D39" t="s">
        <v>160</v>
      </c>
      <c r="E39" t="s">
        <v>195</v>
      </c>
      <c r="F39" t="s">
        <v>222</v>
      </c>
      <c r="G39" t="s">
        <v>232</v>
      </c>
      <c r="H39" t="s">
        <v>237</v>
      </c>
      <c r="I39" t="s">
        <v>242</v>
      </c>
      <c r="J39" t="s">
        <v>243</v>
      </c>
      <c r="K39" s="2">
        <v>31201</v>
      </c>
      <c r="L39">
        <f t="shared" si="0"/>
        <v>1985</v>
      </c>
      <c r="M39">
        <f t="shared" si="1"/>
        <v>6</v>
      </c>
      <c r="N39">
        <f t="shared" si="2"/>
        <v>3</v>
      </c>
      <c r="O39">
        <v>6</v>
      </c>
      <c r="P39">
        <v>1985</v>
      </c>
    </row>
    <row r="40" spans="1:16" x14ac:dyDescent="0.25">
      <c r="A40" t="s">
        <v>49</v>
      </c>
      <c r="B40" t="s">
        <v>71</v>
      </c>
      <c r="C40" t="s">
        <v>110</v>
      </c>
      <c r="D40" t="s">
        <v>132</v>
      </c>
      <c r="E40" t="s">
        <v>181</v>
      </c>
      <c r="F40" t="s">
        <v>208</v>
      </c>
      <c r="G40" t="s">
        <v>235</v>
      </c>
      <c r="H40" t="s">
        <v>240</v>
      </c>
      <c r="I40" t="s">
        <v>242</v>
      </c>
      <c r="J40" t="s">
        <v>243</v>
      </c>
      <c r="K40" s="2">
        <v>21808</v>
      </c>
      <c r="L40">
        <f t="shared" si="0"/>
        <v>1959</v>
      </c>
      <c r="M40">
        <f t="shared" si="1"/>
        <v>9</v>
      </c>
      <c r="N40">
        <f t="shared" si="2"/>
        <v>15</v>
      </c>
      <c r="O40">
        <v>9</v>
      </c>
      <c r="P40">
        <v>1959</v>
      </c>
    </row>
    <row r="41" spans="1:16" x14ac:dyDescent="0.25">
      <c r="A41" t="s">
        <v>50</v>
      </c>
      <c r="B41" t="s">
        <v>71</v>
      </c>
      <c r="C41" t="s">
        <v>111</v>
      </c>
      <c r="D41" t="s">
        <v>161</v>
      </c>
      <c r="E41" t="s">
        <v>182</v>
      </c>
      <c r="F41" t="s">
        <v>209</v>
      </c>
      <c r="G41" t="s">
        <v>234</v>
      </c>
      <c r="H41" t="s">
        <v>239</v>
      </c>
      <c r="I41" t="s">
        <v>242</v>
      </c>
      <c r="J41" t="s">
        <v>243</v>
      </c>
      <c r="K41" s="2">
        <v>32106</v>
      </c>
      <c r="L41">
        <f t="shared" si="0"/>
        <v>1987</v>
      </c>
      <c r="M41">
        <f t="shared" si="1"/>
        <v>11</v>
      </c>
      <c r="N41">
        <f t="shared" si="2"/>
        <v>25</v>
      </c>
      <c r="O41">
        <v>11</v>
      </c>
      <c r="P41">
        <v>1987</v>
      </c>
    </row>
    <row r="42" spans="1:16" x14ac:dyDescent="0.25">
      <c r="A42" t="s">
        <v>51</v>
      </c>
      <c r="B42" t="s">
        <v>71</v>
      </c>
      <c r="C42" t="s">
        <v>112</v>
      </c>
      <c r="D42" t="s">
        <v>162</v>
      </c>
      <c r="E42" t="s">
        <v>196</v>
      </c>
      <c r="F42" t="s">
        <v>223</v>
      </c>
      <c r="G42" t="s">
        <v>232</v>
      </c>
      <c r="H42" t="s">
        <v>237</v>
      </c>
      <c r="I42" t="s">
        <v>242</v>
      </c>
      <c r="J42" t="s">
        <v>243</v>
      </c>
      <c r="K42" s="2">
        <v>33601</v>
      </c>
      <c r="L42">
        <f t="shared" si="0"/>
        <v>1991</v>
      </c>
      <c r="M42">
        <f t="shared" si="1"/>
        <v>12</v>
      </c>
      <c r="N42">
        <f t="shared" si="2"/>
        <v>29</v>
      </c>
      <c r="O42">
        <v>12</v>
      </c>
      <c r="P42">
        <v>1991</v>
      </c>
    </row>
    <row r="43" spans="1:16" x14ac:dyDescent="0.25">
      <c r="A43" t="s">
        <v>52</v>
      </c>
      <c r="B43" t="s">
        <v>71</v>
      </c>
      <c r="C43" t="s">
        <v>113</v>
      </c>
      <c r="D43" t="s">
        <v>163</v>
      </c>
      <c r="E43" t="s">
        <v>197</v>
      </c>
      <c r="F43" t="s">
        <v>224</v>
      </c>
      <c r="G43" t="s">
        <v>235</v>
      </c>
      <c r="H43" t="s">
        <v>240</v>
      </c>
      <c r="I43" t="s">
        <v>242</v>
      </c>
      <c r="J43" t="s">
        <v>243</v>
      </c>
      <c r="K43" s="2">
        <v>33212</v>
      </c>
      <c r="L43">
        <f t="shared" si="0"/>
        <v>1990</v>
      </c>
      <c r="M43">
        <f t="shared" si="1"/>
        <v>12</v>
      </c>
      <c r="N43">
        <f t="shared" si="2"/>
        <v>5</v>
      </c>
      <c r="O43">
        <v>12</v>
      </c>
      <c r="P43">
        <v>1990</v>
      </c>
    </row>
    <row r="44" spans="1:16" x14ac:dyDescent="0.25">
      <c r="A44" t="s">
        <v>53</v>
      </c>
      <c r="B44" t="s">
        <v>71</v>
      </c>
      <c r="C44" t="s">
        <v>114</v>
      </c>
      <c r="D44" t="s">
        <v>132</v>
      </c>
      <c r="E44" t="s">
        <v>194</v>
      </c>
      <c r="F44" t="s">
        <v>221</v>
      </c>
      <c r="G44" t="s">
        <v>236</v>
      </c>
      <c r="H44" t="s">
        <v>241</v>
      </c>
      <c r="I44" t="s">
        <v>242</v>
      </c>
      <c r="J44" t="s">
        <v>243</v>
      </c>
      <c r="K44" s="2">
        <v>21376</v>
      </c>
      <c r="L44">
        <f t="shared" si="0"/>
        <v>1958</v>
      </c>
      <c r="M44">
        <f t="shared" si="1"/>
        <v>7</v>
      </c>
      <c r="N44">
        <f t="shared" si="2"/>
        <v>10</v>
      </c>
      <c r="O44">
        <v>7</v>
      </c>
      <c r="P44">
        <v>1958</v>
      </c>
    </row>
    <row r="45" spans="1:16" x14ac:dyDescent="0.25">
      <c r="A45" t="s">
        <v>54</v>
      </c>
      <c r="B45" t="s">
        <v>71</v>
      </c>
      <c r="C45" t="s">
        <v>115</v>
      </c>
      <c r="D45" t="s">
        <v>164</v>
      </c>
      <c r="E45" t="s">
        <v>183</v>
      </c>
      <c r="F45" t="s">
        <v>210</v>
      </c>
      <c r="G45" t="s">
        <v>234</v>
      </c>
      <c r="H45" t="s">
        <v>239</v>
      </c>
      <c r="I45" t="s">
        <v>242</v>
      </c>
      <c r="J45" t="s">
        <v>243</v>
      </c>
      <c r="K45" s="2">
        <v>31737</v>
      </c>
      <c r="L45">
        <f t="shared" si="0"/>
        <v>1986</v>
      </c>
      <c r="M45">
        <f t="shared" si="1"/>
        <v>11</v>
      </c>
      <c r="N45">
        <f t="shared" si="2"/>
        <v>21</v>
      </c>
      <c r="O45">
        <v>11</v>
      </c>
      <c r="P45">
        <v>1986</v>
      </c>
    </row>
    <row r="46" spans="1:16" x14ac:dyDescent="0.25">
      <c r="A46" t="s">
        <v>55</v>
      </c>
      <c r="B46" t="s">
        <v>71</v>
      </c>
      <c r="C46" t="s">
        <v>116</v>
      </c>
      <c r="D46" t="s">
        <v>165</v>
      </c>
      <c r="E46" t="s">
        <v>179</v>
      </c>
      <c r="F46" t="s">
        <v>206</v>
      </c>
      <c r="G46" t="s">
        <v>233</v>
      </c>
      <c r="H46" t="s">
        <v>238</v>
      </c>
      <c r="I46" t="s">
        <v>242</v>
      </c>
      <c r="J46" t="s">
        <v>243</v>
      </c>
      <c r="K46" s="2">
        <v>28983</v>
      </c>
      <c r="L46">
        <f t="shared" si="0"/>
        <v>1979</v>
      </c>
      <c r="M46">
        <f t="shared" si="1"/>
        <v>5</v>
      </c>
      <c r="N46">
        <f t="shared" si="2"/>
        <v>8</v>
      </c>
      <c r="O46">
        <v>5</v>
      </c>
      <c r="P46">
        <v>1979</v>
      </c>
    </row>
    <row r="47" spans="1:16" x14ac:dyDescent="0.25">
      <c r="A47" t="s">
        <v>56</v>
      </c>
      <c r="B47" t="s">
        <v>71</v>
      </c>
      <c r="C47" t="s">
        <v>117</v>
      </c>
      <c r="D47" t="s">
        <v>166</v>
      </c>
      <c r="E47" t="s">
        <v>198</v>
      </c>
      <c r="F47" t="s">
        <v>225</v>
      </c>
      <c r="G47" t="s">
        <v>232</v>
      </c>
      <c r="H47" t="s">
        <v>237</v>
      </c>
      <c r="I47" t="s">
        <v>242</v>
      </c>
      <c r="J47" t="s">
        <v>243</v>
      </c>
      <c r="K47" s="2">
        <v>31726</v>
      </c>
      <c r="L47">
        <f t="shared" si="0"/>
        <v>1986</v>
      </c>
      <c r="M47">
        <f t="shared" si="1"/>
        <v>11</v>
      </c>
      <c r="N47">
        <f t="shared" si="2"/>
        <v>10</v>
      </c>
      <c r="O47">
        <v>11</v>
      </c>
      <c r="P47">
        <v>1986</v>
      </c>
    </row>
    <row r="48" spans="1:16" x14ac:dyDescent="0.25">
      <c r="A48" t="s">
        <v>57</v>
      </c>
      <c r="B48" t="s">
        <v>71</v>
      </c>
      <c r="C48" t="s">
        <v>118</v>
      </c>
      <c r="D48" t="s">
        <v>167</v>
      </c>
      <c r="E48" t="s">
        <v>199</v>
      </c>
      <c r="F48" t="s">
        <v>226</v>
      </c>
      <c r="G48" t="s">
        <v>234</v>
      </c>
      <c r="H48" t="s">
        <v>239</v>
      </c>
      <c r="I48" t="s">
        <v>242</v>
      </c>
      <c r="J48" t="s">
        <v>243</v>
      </c>
      <c r="K48" s="2">
        <v>30188</v>
      </c>
      <c r="L48">
        <f t="shared" si="0"/>
        <v>1982</v>
      </c>
      <c r="M48">
        <f t="shared" si="1"/>
        <v>8</v>
      </c>
      <c r="N48">
        <f t="shared" si="2"/>
        <v>25</v>
      </c>
      <c r="O48">
        <v>8</v>
      </c>
      <c r="P48">
        <v>1982</v>
      </c>
    </row>
    <row r="49" spans="1:16" x14ac:dyDescent="0.25">
      <c r="A49" t="s">
        <v>58</v>
      </c>
      <c r="B49" t="s">
        <v>71</v>
      </c>
      <c r="C49" t="s">
        <v>119</v>
      </c>
      <c r="D49" t="s">
        <v>132</v>
      </c>
      <c r="E49" t="s">
        <v>200</v>
      </c>
      <c r="F49" t="s">
        <v>227</v>
      </c>
      <c r="G49" t="s">
        <v>235</v>
      </c>
      <c r="H49" t="s">
        <v>240</v>
      </c>
      <c r="I49" t="s">
        <v>242</v>
      </c>
      <c r="J49" t="s">
        <v>243</v>
      </c>
      <c r="K49" s="2">
        <v>31634</v>
      </c>
      <c r="L49">
        <f t="shared" si="0"/>
        <v>1986</v>
      </c>
      <c r="M49">
        <f t="shared" si="1"/>
        <v>8</v>
      </c>
      <c r="N49">
        <f t="shared" si="2"/>
        <v>10</v>
      </c>
      <c r="O49">
        <v>8</v>
      </c>
      <c r="P49">
        <v>1986</v>
      </c>
    </row>
    <row r="50" spans="1:16" x14ac:dyDescent="0.25">
      <c r="A50" t="s">
        <v>59</v>
      </c>
      <c r="B50" t="s">
        <v>71</v>
      </c>
      <c r="C50" t="s">
        <v>120</v>
      </c>
      <c r="D50" t="s">
        <v>168</v>
      </c>
      <c r="E50" t="s">
        <v>201</v>
      </c>
      <c r="F50" t="s">
        <v>228</v>
      </c>
      <c r="G50" t="s">
        <v>233</v>
      </c>
      <c r="H50" t="s">
        <v>238</v>
      </c>
      <c r="I50" t="s">
        <v>242</v>
      </c>
      <c r="J50" t="s">
        <v>243</v>
      </c>
      <c r="K50" s="2">
        <v>34193</v>
      </c>
      <c r="L50">
        <f t="shared" si="0"/>
        <v>1993</v>
      </c>
      <c r="M50">
        <f t="shared" si="1"/>
        <v>8</v>
      </c>
      <c r="N50">
        <f t="shared" si="2"/>
        <v>12</v>
      </c>
      <c r="O50">
        <v>8</v>
      </c>
      <c r="P50">
        <v>1993</v>
      </c>
    </row>
    <row r="51" spans="1:16" x14ac:dyDescent="0.25">
      <c r="A51" t="s">
        <v>60</v>
      </c>
      <c r="B51" t="s">
        <v>71</v>
      </c>
      <c r="C51" t="s">
        <v>121</v>
      </c>
      <c r="D51" t="s">
        <v>169</v>
      </c>
      <c r="E51" t="s">
        <v>202</v>
      </c>
      <c r="F51" t="s">
        <v>229</v>
      </c>
      <c r="G51" t="s">
        <v>232</v>
      </c>
      <c r="H51" t="s">
        <v>237</v>
      </c>
      <c r="I51" t="s">
        <v>242</v>
      </c>
      <c r="J51" t="s">
        <v>243</v>
      </c>
      <c r="L51">
        <f t="shared" si="0"/>
        <v>1900</v>
      </c>
      <c r="M51">
        <f t="shared" si="1"/>
        <v>1</v>
      </c>
      <c r="N51">
        <f t="shared" si="2"/>
        <v>0</v>
      </c>
      <c r="O51">
        <v>1</v>
      </c>
      <c r="P51">
        <v>1900</v>
      </c>
    </row>
    <row r="52" spans="1:16" x14ac:dyDescent="0.25">
      <c r="A52" t="s">
        <v>61</v>
      </c>
      <c r="B52" t="s">
        <v>71</v>
      </c>
      <c r="C52" t="s">
        <v>122</v>
      </c>
      <c r="D52" t="s">
        <v>170</v>
      </c>
      <c r="E52" t="s">
        <v>182</v>
      </c>
      <c r="F52" t="s">
        <v>209</v>
      </c>
      <c r="G52" t="s">
        <v>234</v>
      </c>
      <c r="H52" t="s">
        <v>239</v>
      </c>
      <c r="I52" t="s">
        <v>242</v>
      </c>
      <c r="J52" t="s">
        <v>243</v>
      </c>
      <c r="K52" s="2">
        <v>30601</v>
      </c>
      <c r="L52">
        <f t="shared" si="0"/>
        <v>1983</v>
      </c>
      <c r="M52">
        <f t="shared" si="1"/>
        <v>10</v>
      </c>
      <c r="N52">
        <f t="shared" si="2"/>
        <v>12</v>
      </c>
      <c r="O52">
        <v>10</v>
      </c>
      <c r="P52">
        <v>1983</v>
      </c>
    </row>
    <row r="53" spans="1:16" x14ac:dyDescent="0.25">
      <c r="A53" t="s">
        <v>62</v>
      </c>
      <c r="B53" t="s">
        <v>71</v>
      </c>
      <c r="C53" t="s">
        <v>123</v>
      </c>
      <c r="D53" t="s">
        <v>171</v>
      </c>
      <c r="E53" t="s">
        <v>181</v>
      </c>
      <c r="F53" t="s">
        <v>208</v>
      </c>
      <c r="G53" t="s">
        <v>235</v>
      </c>
      <c r="H53" t="s">
        <v>240</v>
      </c>
      <c r="I53" t="s">
        <v>242</v>
      </c>
      <c r="J53" t="s">
        <v>243</v>
      </c>
      <c r="K53" s="2">
        <v>24488</v>
      </c>
      <c r="L53">
        <f t="shared" si="0"/>
        <v>1967</v>
      </c>
      <c r="M53">
        <f t="shared" si="1"/>
        <v>1</v>
      </c>
      <c r="N53">
        <f t="shared" si="2"/>
        <v>16</v>
      </c>
      <c r="O53">
        <v>1</v>
      </c>
      <c r="P53">
        <v>1967</v>
      </c>
    </row>
    <row r="54" spans="1:16" x14ac:dyDescent="0.25">
      <c r="A54" t="s">
        <v>63</v>
      </c>
      <c r="B54" t="s">
        <v>71</v>
      </c>
      <c r="C54" t="s">
        <v>124</v>
      </c>
      <c r="D54" t="s">
        <v>132</v>
      </c>
      <c r="E54" t="s">
        <v>203</v>
      </c>
      <c r="F54" t="s">
        <v>230</v>
      </c>
      <c r="G54" t="s">
        <v>233</v>
      </c>
      <c r="H54" t="s">
        <v>238</v>
      </c>
      <c r="I54" t="s">
        <v>242</v>
      </c>
      <c r="J54" t="s">
        <v>243</v>
      </c>
      <c r="K54" s="2">
        <v>30574</v>
      </c>
      <c r="L54">
        <f t="shared" si="0"/>
        <v>1983</v>
      </c>
      <c r="M54">
        <f t="shared" si="1"/>
        <v>9</v>
      </c>
      <c r="N54">
        <f t="shared" si="2"/>
        <v>15</v>
      </c>
      <c r="O54">
        <v>9</v>
      </c>
      <c r="P54">
        <v>1983</v>
      </c>
    </row>
    <row r="55" spans="1:16" x14ac:dyDescent="0.25">
      <c r="A55" t="s">
        <v>64</v>
      </c>
      <c r="B55" t="s">
        <v>71</v>
      </c>
      <c r="C55" t="s">
        <v>125</v>
      </c>
      <c r="D55" t="s">
        <v>172</v>
      </c>
      <c r="E55" t="s">
        <v>182</v>
      </c>
      <c r="F55" t="s">
        <v>209</v>
      </c>
      <c r="G55" t="s">
        <v>234</v>
      </c>
      <c r="H55" t="s">
        <v>239</v>
      </c>
      <c r="I55" t="s">
        <v>242</v>
      </c>
      <c r="J55" t="s">
        <v>243</v>
      </c>
      <c r="K55" s="2">
        <v>30975</v>
      </c>
      <c r="L55">
        <f t="shared" si="0"/>
        <v>1984</v>
      </c>
      <c r="M55">
        <f t="shared" si="1"/>
        <v>10</v>
      </c>
      <c r="N55">
        <f t="shared" si="2"/>
        <v>20</v>
      </c>
      <c r="O55">
        <v>10</v>
      </c>
      <c r="P55">
        <v>1984</v>
      </c>
    </row>
    <row r="56" spans="1:16" x14ac:dyDescent="0.25">
      <c r="A56" t="s">
        <v>65</v>
      </c>
      <c r="B56" t="s">
        <v>71</v>
      </c>
      <c r="C56" t="s">
        <v>126</v>
      </c>
      <c r="D56" t="s">
        <v>173</v>
      </c>
      <c r="E56" t="s">
        <v>204</v>
      </c>
      <c r="F56" t="s">
        <v>231</v>
      </c>
      <c r="G56" t="s">
        <v>234</v>
      </c>
      <c r="H56" t="s">
        <v>239</v>
      </c>
      <c r="I56" t="s">
        <v>242</v>
      </c>
      <c r="J56" t="s">
        <v>243</v>
      </c>
      <c r="K56" s="2">
        <v>32110</v>
      </c>
      <c r="L56">
        <f t="shared" si="0"/>
        <v>1987</v>
      </c>
      <c r="M56">
        <f t="shared" si="1"/>
        <v>11</v>
      </c>
      <c r="N56">
        <f t="shared" si="2"/>
        <v>29</v>
      </c>
      <c r="O56">
        <v>11</v>
      </c>
      <c r="P56">
        <v>1987</v>
      </c>
    </row>
    <row r="57" spans="1:16" x14ac:dyDescent="0.25">
      <c r="A57" t="s">
        <v>66</v>
      </c>
      <c r="B57" t="s">
        <v>71</v>
      </c>
      <c r="C57" t="s">
        <v>127</v>
      </c>
      <c r="D57" t="s">
        <v>174</v>
      </c>
      <c r="E57" t="s">
        <v>179</v>
      </c>
      <c r="F57" t="s">
        <v>206</v>
      </c>
      <c r="G57" t="s">
        <v>233</v>
      </c>
      <c r="H57" t="s">
        <v>238</v>
      </c>
      <c r="I57" t="s">
        <v>242</v>
      </c>
      <c r="J57" t="s">
        <v>243</v>
      </c>
      <c r="K57" s="2">
        <v>26150</v>
      </c>
      <c r="L57">
        <f t="shared" si="0"/>
        <v>1971</v>
      </c>
      <c r="M57">
        <f t="shared" si="1"/>
        <v>8</v>
      </c>
      <c r="N57">
        <f t="shared" si="2"/>
        <v>5</v>
      </c>
      <c r="O57">
        <v>8</v>
      </c>
      <c r="P57">
        <v>1971</v>
      </c>
    </row>
    <row r="58" spans="1:16" x14ac:dyDescent="0.25">
      <c r="A58" t="s">
        <v>67</v>
      </c>
      <c r="B58" t="s">
        <v>71</v>
      </c>
      <c r="C58" t="s">
        <v>128</v>
      </c>
      <c r="D58" t="s">
        <v>175</v>
      </c>
      <c r="E58" t="s">
        <v>204</v>
      </c>
      <c r="F58" t="s">
        <v>231</v>
      </c>
      <c r="G58" t="s">
        <v>234</v>
      </c>
      <c r="H58" t="s">
        <v>239</v>
      </c>
      <c r="I58" t="s">
        <v>242</v>
      </c>
      <c r="J58" t="s">
        <v>243</v>
      </c>
      <c r="K58" s="2">
        <v>33156</v>
      </c>
      <c r="L58">
        <f t="shared" si="0"/>
        <v>1990</v>
      </c>
      <c r="M58">
        <f t="shared" si="1"/>
        <v>10</v>
      </c>
      <c r="N58">
        <f t="shared" si="2"/>
        <v>10</v>
      </c>
      <c r="O58">
        <v>10</v>
      </c>
      <c r="P58">
        <v>1990</v>
      </c>
    </row>
    <row r="59" spans="1:16" x14ac:dyDescent="0.25">
      <c r="A59" t="s">
        <v>68</v>
      </c>
      <c r="B59" t="s">
        <v>71</v>
      </c>
      <c r="C59" t="s">
        <v>129</v>
      </c>
      <c r="D59" t="s">
        <v>176</v>
      </c>
      <c r="E59" t="s">
        <v>178</v>
      </c>
      <c r="F59" t="s">
        <v>205</v>
      </c>
      <c r="G59" t="s">
        <v>232</v>
      </c>
      <c r="H59" t="s">
        <v>237</v>
      </c>
      <c r="I59" t="s">
        <v>242</v>
      </c>
      <c r="J59" t="s">
        <v>243</v>
      </c>
      <c r="K59" s="2">
        <v>29095</v>
      </c>
      <c r="L59">
        <f t="shared" si="0"/>
        <v>1979</v>
      </c>
      <c r="M59">
        <f t="shared" si="1"/>
        <v>8</v>
      </c>
      <c r="N59">
        <f t="shared" si="2"/>
        <v>28</v>
      </c>
      <c r="O59">
        <v>8</v>
      </c>
      <c r="P59">
        <v>1979</v>
      </c>
    </row>
    <row r="60" spans="1:16" x14ac:dyDescent="0.25">
      <c r="A60" t="s">
        <v>69</v>
      </c>
      <c r="B60" t="s">
        <v>71</v>
      </c>
      <c r="C60" t="s">
        <v>130</v>
      </c>
      <c r="D60" t="s">
        <v>177</v>
      </c>
      <c r="E60" t="s">
        <v>186</v>
      </c>
      <c r="F60" t="s">
        <v>213</v>
      </c>
      <c r="G60" t="s">
        <v>233</v>
      </c>
      <c r="H60" t="s">
        <v>238</v>
      </c>
      <c r="I60" t="s">
        <v>242</v>
      </c>
      <c r="J60" t="s">
        <v>243</v>
      </c>
      <c r="K60" s="2">
        <v>29204</v>
      </c>
      <c r="L60">
        <f t="shared" si="0"/>
        <v>1979</v>
      </c>
      <c r="M60">
        <f t="shared" si="1"/>
        <v>12</v>
      </c>
      <c r="N60">
        <f t="shared" si="2"/>
        <v>15</v>
      </c>
      <c r="O60">
        <v>12</v>
      </c>
      <c r="P60">
        <v>1979</v>
      </c>
    </row>
    <row r="61" spans="1:16" x14ac:dyDescent="0.25">
      <c r="A61" t="s">
        <v>70</v>
      </c>
      <c r="B61" t="s">
        <v>71</v>
      </c>
      <c r="C61" t="s">
        <v>131</v>
      </c>
      <c r="D61" t="s">
        <v>132</v>
      </c>
      <c r="E61" t="s">
        <v>182</v>
      </c>
      <c r="F61" t="s">
        <v>209</v>
      </c>
      <c r="G61" t="s">
        <v>234</v>
      </c>
      <c r="H61" t="s">
        <v>239</v>
      </c>
      <c r="I61" t="s">
        <v>242</v>
      </c>
      <c r="J61" t="s">
        <v>243</v>
      </c>
      <c r="K61" s="2">
        <v>25315</v>
      </c>
      <c r="L61">
        <f t="shared" si="0"/>
        <v>1969</v>
      </c>
      <c r="M61">
        <f t="shared" si="1"/>
        <v>4</v>
      </c>
      <c r="N61">
        <f t="shared" si="2"/>
        <v>22</v>
      </c>
      <c r="O61">
        <v>4</v>
      </c>
      <c r="P61">
        <v>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Trinh Tran</cp:lastModifiedBy>
  <dcterms:created xsi:type="dcterms:W3CDTF">2025-03-26T08:36:32Z</dcterms:created>
  <dcterms:modified xsi:type="dcterms:W3CDTF">2025-04-03T10:02:38Z</dcterms:modified>
</cp:coreProperties>
</file>